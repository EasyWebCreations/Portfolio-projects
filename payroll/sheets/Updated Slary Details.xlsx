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EasyTechs\"/>
    </mc:Choice>
  </mc:AlternateContent>
  <xr:revisionPtr revIDLastSave="0" documentId="13_ncr:1_{FBD8FCBE-0554-4E17-852C-D1962B348A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L8" i="1" s="1"/>
  <c r="M17" i="1"/>
  <c r="K10" i="1" s="1"/>
  <c r="Y15" i="1"/>
  <c r="W15" i="1"/>
  <c r="U15" i="1"/>
  <c r="G15" i="1"/>
  <c r="F15" i="1"/>
  <c r="AB14" i="1"/>
  <c r="V14" i="1"/>
  <c r="R14" i="1"/>
  <c r="Q14" i="1"/>
  <c r="L14" i="1"/>
  <c r="I14" i="1"/>
  <c r="AC14" i="1" s="1"/>
  <c r="AB13" i="1"/>
  <c r="V13" i="1"/>
  <c r="R13" i="1"/>
  <c r="Q13" i="1"/>
  <c r="I13" i="1"/>
  <c r="AC13" i="1" s="1"/>
  <c r="AB12" i="1"/>
  <c r="V12" i="1"/>
  <c r="R12" i="1"/>
  <c r="Q12" i="1"/>
  <c r="L12" i="1"/>
  <c r="K12" i="1"/>
  <c r="Z12" i="1" s="1"/>
  <c r="I12" i="1"/>
  <c r="AC12" i="1" s="1"/>
  <c r="AB11" i="1"/>
  <c r="V11" i="1"/>
  <c r="R11" i="1"/>
  <c r="Q11" i="1"/>
  <c r="L11" i="1"/>
  <c r="K11" i="1"/>
  <c r="O11" i="1" s="1"/>
  <c r="P11" i="1" s="1"/>
  <c r="I11" i="1"/>
  <c r="AC11" i="1" s="1"/>
  <c r="AB10" i="1"/>
  <c r="V10" i="1"/>
  <c r="R10" i="1"/>
  <c r="Q10" i="1"/>
  <c r="L10" i="1"/>
  <c r="I10" i="1"/>
  <c r="AC10" i="1" s="1"/>
  <c r="AB9" i="1"/>
  <c r="V9" i="1"/>
  <c r="V15" i="1" s="1"/>
  <c r="R9" i="1"/>
  <c r="Q9" i="1"/>
  <c r="L9" i="1"/>
  <c r="I9" i="1"/>
  <c r="AC9" i="1" s="1"/>
  <c r="AB8" i="1"/>
  <c r="V8" i="1"/>
  <c r="R8" i="1"/>
  <c r="Q8" i="1"/>
  <c r="I8" i="1"/>
  <c r="AC8" i="1" s="1"/>
  <c r="AB7" i="1"/>
  <c r="V7" i="1"/>
  <c r="R7" i="1"/>
  <c r="Q7" i="1"/>
  <c r="I7" i="1"/>
  <c r="AC7" i="1" s="1"/>
  <c r="AB6" i="1"/>
  <c r="V6" i="1"/>
  <c r="R6" i="1"/>
  <c r="Q6" i="1"/>
  <c r="L6" i="1"/>
  <c r="I6" i="1"/>
  <c r="AC6" i="1" s="1"/>
  <c r="AB5" i="1"/>
  <c r="AB15" i="1" s="1"/>
  <c r="V5" i="1"/>
  <c r="R5" i="1"/>
  <c r="R15" i="1" s="1"/>
  <c r="Q5" i="1"/>
  <c r="Q15" i="1" s="1"/>
  <c r="I5" i="1"/>
  <c r="I15" i="1" s="1"/>
  <c r="S11" i="1" l="1"/>
  <c r="AA11" i="1"/>
  <c r="M10" i="1"/>
  <c r="N10" i="1" s="1"/>
  <c r="Z10" i="1"/>
  <c r="O10" i="1"/>
  <c r="P10" i="1" s="1"/>
  <c r="AC5" i="1"/>
  <c r="AC15" i="1" s="1"/>
  <c r="K5" i="1"/>
  <c r="M11" i="1"/>
  <c r="N11" i="1" s="1"/>
  <c r="K13" i="1"/>
  <c r="L5" i="1"/>
  <c r="K6" i="1"/>
  <c r="M12" i="1"/>
  <c r="N12" i="1" s="1"/>
  <c r="L13" i="1"/>
  <c r="K14" i="1"/>
  <c r="K7" i="1"/>
  <c r="Z11" i="1"/>
  <c r="L7" i="1"/>
  <c r="K8" i="1"/>
  <c r="O12" i="1"/>
  <c r="P12" i="1" s="1"/>
  <c r="K9" i="1"/>
  <c r="O7" i="1" l="1"/>
  <c r="P7" i="1" s="1"/>
  <c r="M7" i="1"/>
  <c r="N7" i="1" s="1"/>
  <c r="Z7" i="1"/>
  <c r="S10" i="1"/>
  <c r="AA10" i="1"/>
  <c r="M9" i="1"/>
  <c r="N9" i="1" s="1"/>
  <c r="Z9" i="1"/>
  <c r="O9" i="1"/>
  <c r="P9" i="1" s="1"/>
  <c r="K15" i="1"/>
  <c r="Z5" i="1"/>
  <c r="O5" i="1"/>
  <c r="M5" i="1"/>
  <c r="AA12" i="1"/>
  <c r="S12" i="1"/>
  <c r="Z6" i="1"/>
  <c r="O6" i="1"/>
  <c r="P6" i="1" s="1"/>
  <c r="M6" i="1"/>
  <c r="N6" i="1" s="1"/>
  <c r="Z14" i="1"/>
  <c r="O14" i="1"/>
  <c r="P14" i="1" s="1"/>
  <c r="M14" i="1"/>
  <c r="N14" i="1" s="1"/>
  <c r="M8" i="1"/>
  <c r="N8" i="1" s="1"/>
  <c r="O8" i="1"/>
  <c r="P8" i="1" s="1"/>
  <c r="Z8" i="1"/>
  <c r="L15" i="1"/>
  <c r="Z13" i="1"/>
  <c r="O13" i="1"/>
  <c r="P13" i="1" s="1"/>
  <c r="M13" i="1"/>
  <c r="N13" i="1" s="1"/>
  <c r="T11" i="1"/>
  <c r="X11" i="1"/>
  <c r="X12" i="1" l="1"/>
  <c r="T12" i="1"/>
  <c r="S9" i="1"/>
  <c r="AA9" i="1"/>
  <c r="S8" i="1"/>
  <c r="AA8" i="1"/>
  <c r="T10" i="1"/>
  <c r="X10" i="1"/>
  <c r="AA6" i="1"/>
  <c r="S6" i="1"/>
  <c r="P5" i="1"/>
  <c r="O15" i="1"/>
  <c r="N5" i="1"/>
  <c r="N15" i="1" s="1"/>
  <c r="M15" i="1"/>
  <c r="AA14" i="1"/>
  <c r="S14" i="1"/>
  <c r="AA13" i="1"/>
  <c r="S13" i="1"/>
  <c r="Z15" i="1"/>
  <c r="S7" i="1"/>
  <c r="AA7" i="1"/>
  <c r="X14" i="1" l="1"/>
  <c r="T14" i="1"/>
  <c r="X8" i="1"/>
  <c r="T8" i="1"/>
  <c r="X7" i="1"/>
  <c r="T7" i="1"/>
  <c r="AA5" i="1"/>
  <c r="AA15" i="1" s="1"/>
  <c r="P15" i="1"/>
  <c r="S5" i="1"/>
  <c r="T9" i="1"/>
  <c r="X9" i="1"/>
  <c r="X13" i="1"/>
  <c r="T13" i="1"/>
  <c r="X6" i="1"/>
  <c r="T6" i="1"/>
  <c r="S15" i="1" l="1"/>
  <c r="X5" i="1"/>
  <c r="X15" i="1" s="1"/>
  <c r="T5" i="1"/>
  <c r="T15" i="1" s="1"/>
</calcChain>
</file>

<file path=xl/sharedStrings.xml><?xml version="1.0" encoding="utf-8"?>
<sst xmlns="http://schemas.openxmlformats.org/spreadsheetml/2006/main" count="47" uniqueCount="45">
  <si>
    <t>Techno Energy Engineering Private Limited</t>
  </si>
  <si>
    <t>Sr.No.</t>
  </si>
  <si>
    <t>Name</t>
  </si>
  <si>
    <t>Designation</t>
  </si>
  <si>
    <t>Total Days in Month</t>
  </si>
  <si>
    <t>W/O</t>
  </si>
  <si>
    <t>Absent</t>
  </si>
  <si>
    <t>Leaves</t>
  </si>
  <si>
    <t>Pay Days</t>
  </si>
  <si>
    <t>Fixed Structure</t>
  </si>
  <si>
    <t>PH</t>
  </si>
  <si>
    <t>PH Pay</t>
  </si>
  <si>
    <t>Advance</t>
  </si>
  <si>
    <t xml:space="preserve">Net Payable </t>
  </si>
  <si>
    <t>Ovrtime</t>
  </si>
  <si>
    <t>UAN</t>
  </si>
  <si>
    <t>Total Pay</t>
  </si>
  <si>
    <t>Basic+DA</t>
  </si>
  <si>
    <t>HRA</t>
  </si>
  <si>
    <t>Allowance</t>
  </si>
  <si>
    <t>PF Wages</t>
  </si>
  <si>
    <t>Basic As Per 15K</t>
  </si>
  <si>
    <t>PF As Per 15K</t>
  </si>
  <si>
    <t>ESIC</t>
  </si>
  <si>
    <t>PT</t>
  </si>
  <si>
    <t>Deduction As Per 15K</t>
  </si>
  <si>
    <t>Net Amount</t>
  </si>
  <si>
    <t>OT Hrs</t>
  </si>
  <si>
    <t>OT Payble</t>
  </si>
  <si>
    <t>PF As Per 15 K</t>
  </si>
  <si>
    <t>Bonous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</si>
  <si>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</si>
  <si>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</si>
  <si>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</si>
  <si>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</si>
  <si>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</si>
  <si>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</si>
  <si>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</si>
  <si>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</si>
  <si>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</si>
  <si>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</si>
  <si>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Total</t>
  </si>
  <si>
    <t xml:space="preserve">Basic = </t>
  </si>
  <si>
    <t>Of Total Pay</t>
  </si>
  <si>
    <t xml:space="preserve">HRA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</si>
</sst>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Segoe UI"/>
      <family val="2"/>
    </font>
    <font>
      <sz val="9"/>
      <name val="Segoe UI"/>
      <family val="2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2" borderId="3" xfId="0" applyFont="1" applyFill="1" applyBorder="1"/>
    <xf numFmtId="0" fontId="3" fillId="0" borderId="1" xfId="0" applyFont="1" applyBorder="1"/>
    <xf numFmtId="0" fontId="2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2" borderId="3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5" fillId="0" borderId="1" xfId="0" applyFont="1" applyBorder="1"/>
    <xf numFmtId="1" fontId="6" fillId="2" borderId="3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1" fontId="9" fillId="0" borderId="3" xfId="0" applyNumberFormat="1" applyFont="1" applyBorder="1"/>
    <xf numFmtId="1" fontId="5" fillId="2" borderId="0" xfId="0" applyNumberFormat="1" applyFont="1" applyFill="1" applyAlignment="1">
      <alignment horizontal="center"/>
    </xf>
    <xf numFmtId="0" fontId="5" fillId="2" borderId="0" xfId="0" applyFont="1" applyFill="1"/>
    <xf numFmtId="1" fontId="10" fillId="2" borderId="3" xfId="0" applyNumberFormat="1" applyFont="1" applyFill="1" applyBorder="1" applyAlignment="1">
      <alignment horizontal="center"/>
    </xf>
    <xf numFmtId="0" fontId="5" fillId="0" borderId="3" xfId="0" applyFont="1" applyBorder="1"/>
    <xf numFmtId="0" fontId="4" fillId="0" borderId="1" xfId="0" applyFont="1" applyBorder="1"/>
    <xf numFmtId="0" fontId="11" fillId="2" borderId="3" xfId="0" applyFont="1" applyFill="1" applyBorder="1"/>
    <xf numFmtId="0" fontId="12" fillId="0" borderId="5" xfId="0" applyFont="1" applyBorder="1"/>
    <xf numFmtId="0" fontId="12" fillId="2" borderId="3" xfId="0" applyFont="1" applyFill="1" applyBorder="1"/>
    <xf numFmtId="1" fontId="12" fillId="2" borderId="3" xfId="0" applyNumberFormat="1" applyFont="1" applyFill="1" applyBorder="1"/>
    <xf numFmtId="1" fontId="12" fillId="3" borderId="3" xfId="0" applyNumberFormat="1" applyFont="1" applyFill="1" applyBorder="1"/>
    <xf numFmtId="1" fontId="12" fillId="3" borderId="1" xfId="0" applyNumberFormat="1" applyFont="1" applyFill="1" applyBorder="1"/>
    <xf numFmtId="1" fontId="12" fillId="2" borderId="0" xfId="0" applyNumberFormat="1" applyFont="1" applyFill="1"/>
    <xf numFmtId="0" fontId="4" fillId="4" borderId="3" xfId="0" applyFont="1" applyFill="1" applyBorder="1" applyAlignment="1">
      <alignment horizontal="center" vertical="center"/>
    </xf>
    <xf numFmtId="164" fontId="4" fillId="4" borderId="3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workbookViewId="0">
      <selection activeCell="F20" sqref="F20"/>
    </sheetView>
  </sheetViews>
  <sheetFormatPr defaultRowHeight="14.4" x14ac:dyDescent="0.3"/>
  <cols>
    <col min="1" max="1" width="9.33203125" bestFit="1" customWidth="1"/>
    <col min="2" max="2" width="15" style="53" customWidth="1"/>
    <col min="3" max="3" width="30.44140625" style="50" bestFit="1" customWidth="1"/>
    <col min="4" max="4" width="30.44140625" style="50" customWidth="1"/>
    <col min="5" max="6" width="23" style="53" customWidth="1"/>
    <col min="7" max="11" width="13.33203125" style="53" customWidth="1"/>
    <col min="12" max="12" width="11.33203125" style="50" customWidth="1"/>
    <col min="13" max="13" width="13.77734375" style="50" customWidth="1"/>
    <col min="14" max="15" width="9.109375" style="50" customWidth="1"/>
    <col min="16" max="16" width="7.77734375" style="50" customWidth="1"/>
    <col min="17" max="17" width="12.44140625" customWidth="1"/>
    <col min="18" max="18" width="9.88671875" customWidth="1"/>
    <col min="19" max="19" width="10.33203125" customWidth="1"/>
    <col min="20" max="20" width="12.44140625" customWidth="1"/>
    <col min="21" max="21" width="14" customWidth="1"/>
    <col min="22" max="22" width="11.77734375" customWidth="1"/>
    <col min="23" max="23" width="14.77734375" customWidth="1"/>
    <col min="24" max="24" width="13.109375" customWidth="1"/>
    <col min="25" max="25" width="9.88671875" customWidth="1"/>
    <col min="26" max="26" width="13.109375" customWidth="1"/>
    <col min="27" max="27" width="11.44140625" customWidth="1"/>
    <col min="28" max="28" width="9.88671875" customWidth="1"/>
    <col min="29" max="29" width="9.109375" customWidth="1"/>
    <col min="30" max="30" width="10.109375" customWidth="1"/>
    <col min="31" max="31" width="9.109375" customWidth="1"/>
    <col min="32" max="32" width="9.88671875" customWidth="1"/>
    <col min="33" max="33" width="9.109375" customWidth="1"/>
    <col min="34" max="34" width="10.109375" customWidth="1"/>
    <col min="35" max="37" width="9.109375" customWidth="1"/>
  </cols>
  <sheetData>
    <row r="1" spans="1:37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</row>
    <row r="2" spans="1:37" ht="18" x14ac:dyDescent="0.35">
      <c r="A2" s="4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"/>
      <c r="AD2" s="3"/>
      <c r="AE2" s="3"/>
      <c r="AF2" s="3"/>
      <c r="AG2" s="3"/>
      <c r="AH2" s="3"/>
      <c r="AI2" s="3"/>
      <c r="AJ2" s="3"/>
      <c r="AK2" s="3"/>
    </row>
    <row r="3" spans="1:37" x14ac:dyDescent="0.3">
      <c r="A3" s="7" t="s">
        <v>1</v>
      </c>
      <c r="B3" s="8"/>
      <c r="C3" s="9" t="s">
        <v>2</v>
      </c>
      <c r="D3" s="10" t="s">
        <v>3</v>
      </c>
      <c r="E3" s="11" t="s">
        <v>4</v>
      </c>
      <c r="F3" s="9" t="s">
        <v>5</v>
      </c>
      <c r="G3" s="9" t="s">
        <v>6</v>
      </c>
      <c r="H3" s="9" t="s">
        <v>7</v>
      </c>
      <c r="I3" s="12" t="s">
        <v>8</v>
      </c>
      <c r="J3" s="8"/>
      <c r="K3" s="13" t="s">
        <v>9</v>
      </c>
      <c r="L3" s="13"/>
      <c r="M3" s="13"/>
      <c r="N3" s="13"/>
      <c r="O3" s="14"/>
      <c r="P3" s="15"/>
      <c r="Q3" s="16"/>
      <c r="R3" s="16"/>
      <c r="S3" s="15"/>
      <c r="T3" s="15"/>
      <c r="U3" s="17" t="s">
        <v>10</v>
      </c>
      <c r="V3" s="17" t="s">
        <v>11</v>
      </c>
      <c r="W3" s="17" t="s">
        <v>12</v>
      </c>
      <c r="X3" s="18" t="s">
        <v>13</v>
      </c>
      <c r="Y3" s="19" t="s">
        <v>14</v>
      </c>
      <c r="Z3" s="20"/>
      <c r="AA3" s="21"/>
      <c r="AB3" s="16"/>
      <c r="AC3" s="22"/>
      <c r="AD3" s="23"/>
      <c r="AE3" s="24"/>
      <c r="AF3" s="24"/>
      <c r="AG3" s="24"/>
      <c r="AH3" s="24"/>
      <c r="AI3" s="24"/>
      <c r="AJ3" s="25"/>
      <c r="AK3" s="25"/>
    </row>
    <row r="4" spans="1:37" ht="28.8" x14ac:dyDescent="0.3">
      <c r="A4" s="7"/>
      <c r="B4" s="8" t="s">
        <v>15</v>
      </c>
      <c r="C4" s="9"/>
      <c r="D4" s="10"/>
      <c r="E4" s="26"/>
      <c r="F4" s="9"/>
      <c r="G4" s="9"/>
      <c r="H4" s="9"/>
      <c r="I4" s="27"/>
      <c r="J4" s="8" t="s">
        <v>16</v>
      </c>
      <c r="K4" s="28" t="s">
        <v>17</v>
      </c>
      <c r="L4" s="14" t="s">
        <v>18</v>
      </c>
      <c r="M4" s="28" t="s">
        <v>19</v>
      </c>
      <c r="N4" s="29" t="s">
        <v>20</v>
      </c>
      <c r="O4" s="30" t="s">
        <v>21</v>
      </c>
      <c r="P4" s="30" t="s">
        <v>22</v>
      </c>
      <c r="Q4" s="29" t="s">
        <v>23</v>
      </c>
      <c r="R4" s="29" t="s">
        <v>24</v>
      </c>
      <c r="S4" s="30" t="s">
        <v>25</v>
      </c>
      <c r="T4" s="30" t="s">
        <v>26</v>
      </c>
      <c r="U4" s="31"/>
      <c r="V4" s="31"/>
      <c r="W4" s="31"/>
      <c r="X4" s="32"/>
      <c r="Y4" s="24" t="s">
        <v>27</v>
      </c>
      <c r="Z4" s="33" t="s">
        <v>28</v>
      </c>
      <c r="AA4" s="34" t="s">
        <v>29</v>
      </c>
      <c r="AB4" s="29" t="s">
        <v>23</v>
      </c>
      <c r="AC4" s="35" t="s">
        <v>30</v>
      </c>
      <c r="AD4" s="23"/>
      <c r="AE4" s="24"/>
      <c r="AF4" s="24"/>
      <c r="AG4" s="24"/>
      <c r="AH4" s="36"/>
      <c r="AI4" s="24"/>
    </row>
    <row r="5" spans="1:37" s="50" customFormat="1" ht="15.6" x14ac:dyDescent="0.3">
      <c r="A5" s="37">
        <v>1</v>
      </c>
      <c r="B5" s="38"/>
      <c r="C5" s="39" t="s">
        <v>31</v>
      </c>
      <c r="D5" s="40"/>
      <c r="E5" s="39">
        <v>30</v>
      </c>
      <c r="F5" s="41">
        <v>4</v>
      </c>
      <c r="G5" s="41">
        <v>0</v>
      </c>
      <c r="H5" s="41">
        <v>0</v>
      </c>
      <c r="I5" s="41">
        <f>E5-F5-G5-H5</f>
        <v>26</v>
      </c>
      <c r="J5" s="40">
        <v>25000</v>
      </c>
      <c r="K5" s="42">
        <f>J5*$M$17</f>
        <v>12880</v>
      </c>
      <c r="L5" s="43">
        <f>J5*$M$18</f>
        <v>5152</v>
      </c>
      <c r="M5" s="43">
        <f>J5-K5-L5</f>
        <v>6968</v>
      </c>
      <c r="N5" s="43">
        <f>J5-M5</f>
        <v>18032</v>
      </c>
      <c r="O5" s="44">
        <f>IF(K5&lt;15000,15000,IF(K5&gt;=15000,"15000"))</f>
        <v>15000</v>
      </c>
      <c r="P5" s="45">
        <f>O5/100*12</f>
        <v>1800</v>
      </c>
      <c r="Q5" s="45">
        <f>J5*7.5/100</f>
        <v>1875</v>
      </c>
      <c r="R5" s="46" t="str">
        <f>IF(J5&gt;=10000,"200",IF(J5&gt;=7500,"175","0"))</f>
        <v>200</v>
      </c>
      <c r="S5" s="45">
        <f t="shared" ref="S5:S14" si="0">P5+Q5+R5</f>
        <v>3875</v>
      </c>
      <c r="T5" s="45">
        <f>J5-S5</f>
        <v>21125</v>
      </c>
      <c r="U5" s="45">
        <v>0</v>
      </c>
      <c r="V5" s="45">
        <f>J5/30*U5</f>
        <v>0</v>
      </c>
      <c r="W5" s="45">
        <v>0</v>
      </c>
      <c r="X5" s="45">
        <f>J5-S5+V5-W5</f>
        <v>21125</v>
      </c>
      <c r="Y5" s="45">
        <v>2</v>
      </c>
      <c r="Z5" s="45">
        <f>K5/(E5-F5)/8*Y5</f>
        <v>123.84615384615384</v>
      </c>
      <c r="AA5" s="45">
        <f t="shared" ref="AA5:AA14" si="1">P5/12*12.65</f>
        <v>1897.5</v>
      </c>
      <c r="AB5" s="45">
        <f>J5*3.25%</f>
        <v>812.5</v>
      </c>
      <c r="AC5" s="47">
        <f>7000*12/305*I5*8.33%</f>
        <v>596.48262295081963</v>
      </c>
      <c r="AD5" s="48"/>
      <c r="AE5" s="49"/>
      <c r="AF5" s="49"/>
      <c r="AG5" s="49"/>
      <c r="AH5" s="49"/>
      <c r="AI5" s="49"/>
      <c r="AJ5" s="49"/>
    </row>
    <row r="6" spans="1:37" s="50" customFormat="1" ht="16.8" x14ac:dyDescent="0.4">
      <c r="A6" s="37">
        <v>2</v>
      </c>
      <c r="B6" s="51"/>
      <c r="C6" s="39" t="s">
        <v>32</v>
      </c>
      <c r="D6" s="40"/>
      <c r="E6" s="39">
        <v>30</v>
      </c>
      <c r="F6" s="41">
        <v>4</v>
      </c>
      <c r="G6" s="41">
        <v>0</v>
      </c>
      <c r="H6" s="41">
        <v>0</v>
      </c>
      <c r="I6" s="41">
        <f t="shared" ref="I6:I14" si="2">E6-F6-G6-H6</f>
        <v>26</v>
      </c>
      <c r="J6" s="40">
        <v>25000</v>
      </c>
      <c r="K6" s="42">
        <f t="shared" ref="K6:K13" si="3">J6*$M$17</f>
        <v>12880</v>
      </c>
      <c r="L6" s="43">
        <f t="shared" ref="L6:L14" si="4">J6*$M$18</f>
        <v>5152</v>
      </c>
      <c r="M6" s="43">
        <f t="shared" ref="M6:M14" si="5">J6-K6-L6</f>
        <v>6968</v>
      </c>
      <c r="N6" s="43">
        <f t="shared" ref="N6:N14" si="6">J6-M6</f>
        <v>18032</v>
      </c>
      <c r="O6" s="44">
        <f t="shared" ref="O6:O14" si="7">IF(K6&lt;15000,15000,IF(K6&gt;=15000,"15000"))</f>
        <v>15000</v>
      </c>
      <c r="P6" s="45">
        <f>O6/100*12</f>
        <v>1800</v>
      </c>
      <c r="Q6" s="45">
        <f t="shared" ref="Q6:Q14" si="8">J6*7.5/100</f>
        <v>1875</v>
      </c>
      <c r="R6" s="46" t="str">
        <f t="shared" ref="R6:R13" si="9">IF(J6&gt;=10000,"200",IF(J6&gt;=7500,"175","0"))</f>
        <v>200</v>
      </c>
      <c r="S6" s="45">
        <f t="shared" si="0"/>
        <v>3875</v>
      </c>
      <c r="T6" s="45">
        <f t="shared" ref="T6:T14" si="10">J6-S6</f>
        <v>21125</v>
      </c>
      <c r="U6" s="45">
        <v>0</v>
      </c>
      <c r="V6" s="45">
        <f t="shared" ref="V6:V13" si="11">J6/30*U6</f>
        <v>0</v>
      </c>
      <c r="W6" s="45">
        <v>0</v>
      </c>
      <c r="X6" s="45">
        <f t="shared" ref="X6:X14" si="12">J6-S6+V6-W6</f>
        <v>21125</v>
      </c>
      <c r="Y6" s="45">
        <v>2</v>
      </c>
      <c r="Z6" s="45">
        <f>K6/26/8*Y6</f>
        <v>123.84615384615384</v>
      </c>
      <c r="AA6" s="45">
        <f t="shared" si="1"/>
        <v>1897.5</v>
      </c>
      <c r="AB6" s="45">
        <f t="shared" ref="AB6:AB14" si="13">J6*3.25%</f>
        <v>812.5</v>
      </c>
      <c r="AC6" s="47">
        <f t="shared" ref="AC6:AC14" si="14">7000*12/305*I6*8.33%</f>
        <v>596.48262295081963</v>
      </c>
      <c r="AD6" s="48"/>
      <c r="AE6" s="49"/>
      <c r="AF6" s="49"/>
      <c r="AG6" s="49"/>
      <c r="AH6" s="49"/>
      <c r="AI6" s="49"/>
      <c r="AJ6" s="49"/>
    </row>
    <row r="7" spans="1:37" s="50" customFormat="1" ht="16.8" x14ac:dyDescent="0.4">
      <c r="A7" s="37">
        <v>3</v>
      </c>
      <c r="B7" s="51"/>
      <c r="C7" s="39" t="s">
        <v>33</v>
      </c>
      <c r="D7" s="40"/>
      <c r="E7" s="39">
        <v>30</v>
      </c>
      <c r="F7" s="41">
        <v>4</v>
      </c>
      <c r="G7" s="41">
        <v>0</v>
      </c>
      <c r="H7" s="41">
        <v>0</v>
      </c>
      <c r="I7" s="41">
        <f t="shared" si="2"/>
        <v>26</v>
      </c>
      <c r="J7" s="40">
        <v>25000</v>
      </c>
      <c r="K7" s="42">
        <f t="shared" si="3"/>
        <v>12880</v>
      </c>
      <c r="L7" s="43">
        <f t="shared" si="4"/>
        <v>5152</v>
      </c>
      <c r="M7" s="43">
        <f t="shared" si="5"/>
        <v>6968</v>
      </c>
      <c r="N7" s="43">
        <f t="shared" si="6"/>
        <v>18032</v>
      </c>
      <c r="O7" s="44">
        <f t="shared" si="7"/>
        <v>15000</v>
      </c>
      <c r="P7" s="45">
        <f>O7/100*12</f>
        <v>1800</v>
      </c>
      <c r="Q7" s="45">
        <f t="shared" si="8"/>
        <v>1875</v>
      </c>
      <c r="R7" s="46" t="str">
        <f t="shared" si="9"/>
        <v>200</v>
      </c>
      <c r="S7" s="45">
        <f t="shared" si="0"/>
        <v>3875</v>
      </c>
      <c r="T7" s="45">
        <f t="shared" si="10"/>
        <v>21125</v>
      </c>
      <c r="U7" s="45">
        <v>0</v>
      </c>
      <c r="V7" s="45">
        <f t="shared" si="11"/>
        <v>0</v>
      </c>
      <c r="W7" s="45">
        <v>0</v>
      </c>
      <c r="X7" s="45">
        <f t="shared" si="12"/>
        <v>21125</v>
      </c>
      <c r="Y7" s="45">
        <v>2</v>
      </c>
      <c r="Z7" s="45">
        <f>K7/26/8*Y7</f>
        <v>123.84615384615384</v>
      </c>
      <c r="AA7" s="45">
        <f t="shared" si="1"/>
        <v>1897.5</v>
      </c>
      <c r="AB7" s="45">
        <f t="shared" si="13"/>
        <v>812.5</v>
      </c>
      <c r="AC7" s="47">
        <f t="shared" si="14"/>
        <v>596.48262295081963</v>
      </c>
      <c r="AD7" s="48"/>
      <c r="AE7" s="49"/>
      <c r="AF7" s="49"/>
      <c r="AG7" s="49"/>
      <c r="AH7" s="49"/>
      <c r="AI7" s="49"/>
      <c r="AJ7" s="49"/>
    </row>
    <row r="8" spans="1:37" s="50" customFormat="1" ht="15.6" x14ac:dyDescent="0.3">
      <c r="A8" s="37">
        <v>4</v>
      </c>
      <c r="B8" s="38"/>
      <c r="C8" s="39" t="s">
        <v>34</v>
      </c>
      <c r="D8" s="40"/>
      <c r="E8" s="39">
        <v>30</v>
      </c>
      <c r="F8" s="41">
        <v>4</v>
      </c>
      <c r="G8" s="41">
        <v>0</v>
      </c>
      <c r="H8" s="41">
        <v>0</v>
      </c>
      <c r="I8" s="41">
        <f t="shared" si="2"/>
        <v>26</v>
      </c>
      <c r="J8" s="40">
        <v>25000</v>
      </c>
      <c r="K8" s="42">
        <f t="shared" si="3"/>
        <v>12880</v>
      </c>
      <c r="L8" s="43">
        <f t="shared" si="4"/>
        <v>5152</v>
      </c>
      <c r="M8" s="43">
        <f t="shared" si="5"/>
        <v>6968</v>
      </c>
      <c r="N8" s="43">
        <f t="shared" si="6"/>
        <v>18032</v>
      </c>
      <c r="O8" s="44">
        <f t="shared" si="7"/>
        <v>15000</v>
      </c>
      <c r="P8" s="45">
        <f>O8/100*12</f>
        <v>1800</v>
      </c>
      <c r="Q8" s="45">
        <f t="shared" si="8"/>
        <v>1875</v>
      </c>
      <c r="R8" s="46" t="str">
        <f t="shared" si="9"/>
        <v>200</v>
      </c>
      <c r="S8" s="45">
        <f t="shared" si="0"/>
        <v>3875</v>
      </c>
      <c r="T8" s="45">
        <f t="shared" si="10"/>
        <v>21125</v>
      </c>
      <c r="U8" s="45">
        <v>0</v>
      </c>
      <c r="V8" s="45">
        <f t="shared" si="11"/>
        <v>0</v>
      </c>
      <c r="W8" s="45">
        <v>0</v>
      </c>
      <c r="X8" s="45">
        <f t="shared" si="12"/>
        <v>21125</v>
      </c>
      <c r="Y8" s="45">
        <v>2</v>
      </c>
      <c r="Z8" s="45">
        <f>K8/26/8*Y8</f>
        <v>123.84615384615384</v>
      </c>
      <c r="AA8" s="45">
        <f t="shared" si="1"/>
        <v>1897.5</v>
      </c>
      <c r="AB8" s="45">
        <f t="shared" si="13"/>
        <v>812.5</v>
      </c>
      <c r="AC8" s="47">
        <f t="shared" si="14"/>
        <v>596.48262295081963</v>
      </c>
      <c r="AD8" s="48"/>
      <c r="AE8" s="49"/>
      <c r="AF8" s="49"/>
      <c r="AG8" s="49"/>
      <c r="AH8" s="49"/>
      <c r="AI8" s="49"/>
      <c r="AJ8" s="49"/>
    </row>
    <row r="9" spans="1:37" s="50" customFormat="1" ht="15.6" x14ac:dyDescent="0.3">
      <c r="A9" s="37">
        <v>5</v>
      </c>
      <c r="B9" s="38"/>
      <c r="C9" s="39" t="s">
        <v>35</v>
      </c>
      <c r="D9" s="40"/>
      <c r="E9" s="39">
        <v>30</v>
      </c>
      <c r="F9" s="41">
        <v>4</v>
      </c>
      <c r="G9" s="41">
        <v>0</v>
      </c>
      <c r="H9" s="41">
        <v>0</v>
      </c>
      <c r="I9" s="41">
        <f t="shared" si="2"/>
        <v>26</v>
      </c>
      <c r="J9" s="40">
        <v>25000</v>
      </c>
      <c r="K9" s="42">
        <f t="shared" si="3"/>
        <v>12880</v>
      </c>
      <c r="L9" s="43">
        <f t="shared" si="4"/>
        <v>5152</v>
      </c>
      <c r="M9" s="43">
        <f t="shared" si="5"/>
        <v>6968</v>
      </c>
      <c r="N9" s="43">
        <f t="shared" si="6"/>
        <v>18032</v>
      </c>
      <c r="O9" s="44">
        <f t="shared" si="7"/>
        <v>15000</v>
      </c>
      <c r="P9" s="45">
        <f>O9/100*12</f>
        <v>1800</v>
      </c>
      <c r="Q9" s="45">
        <f t="shared" si="8"/>
        <v>1875</v>
      </c>
      <c r="R9" s="46" t="str">
        <f t="shared" si="9"/>
        <v>200</v>
      </c>
      <c r="S9" s="45">
        <f t="shared" si="0"/>
        <v>3875</v>
      </c>
      <c r="T9" s="45">
        <f t="shared" si="10"/>
        <v>21125</v>
      </c>
      <c r="U9" s="45">
        <v>0</v>
      </c>
      <c r="V9" s="45">
        <f t="shared" si="11"/>
        <v>0</v>
      </c>
      <c r="W9" s="45">
        <v>0</v>
      </c>
      <c r="X9" s="45">
        <f t="shared" si="12"/>
        <v>21125</v>
      </c>
      <c r="Y9" s="45">
        <v>2</v>
      </c>
      <c r="Z9" s="45">
        <f>K9/26/8*Y9</f>
        <v>123.84615384615384</v>
      </c>
      <c r="AA9" s="45">
        <f t="shared" si="1"/>
        <v>1897.5</v>
      </c>
      <c r="AB9" s="45">
        <f t="shared" si="13"/>
        <v>812.5</v>
      </c>
      <c r="AC9" s="47">
        <f t="shared" si="14"/>
        <v>596.48262295081963</v>
      </c>
      <c r="AD9" s="48"/>
      <c r="AE9" s="49"/>
      <c r="AF9" s="49"/>
      <c r="AG9" s="49"/>
      <c r="AH9" s="49"/>
      <c r="AI9" s="49"/>
      <c r="AJ9" s="49"/>
    </row>
    <row r="10" spans="1:37" s="53" customFormat="1" ht="15.6" x14ac:dyDescent="0.3">
      <c r="A10" s="37">
        <v>6</v>
      </c>
      <c r="B10" s="38"/>
      <c r="C10" s="39" t="s">
        <v>36</v>
      </c>
      <c r="D10" s="40"/>
      <c r="E10" s="39">
        <v>30</v>
      </c>
      <c r="F10" s="41">
        <v>4</v>
      </c>
      <c r="G10" s="41">
        <v>0</v>
      </c>
      <c r="H10" s="41">
        <v>0</v>
      </c>
      <c r="I10" s="41">
        <f t="shared" si="2"/>
        <v>26</v>
      </c>
      <c r="J10" s="40">
        <v>25000</v>
      </c>
      <c r="K10" s="42">
        <f t="shared" si="3"/>
        <v>12880</v>
      </c>
      <c r="L10" s="43">
        <f t="shared" si="4"/>
        <v>5152</v>
      </c>
      <c r="M10" s="43">
        <f t="shared" si="5"/>
        <v>6968</v>
      </c>
      <c r="N10" s="43">
        <f t="shared" si="6"/>
        <v>18032</v>
      </c>
      <c r="O10" s="44">
        <f t="shared" si="7"/>
        <v>15000</v>
      </c>
      <c r="P10" s="45">
        <f>O10/100*12</f>
        <v>1800</v>
      </c>
      <c r="Q10" s="45">
        <f t="shared" si="8"/>
        <v>1875</v>
      </c>
      <c r="R10" s="46" t="str">
        <f t="shared" si="9"/>
        <v>200</v>
      </c>
      <c r="S10" s="45">
        <f t="shared" si="0"/>
        <v>3875</v>
      </c>
      <c r="T10" s="45">
        <f t="shared" si="10"/>
        <v>21125</v>
      </c>
      <c r="U10" s="45">
        <v>0</v>
      </c>
      <c r="V10" s="45">
        <f t="shared" si="11"/>
        <v>0</v>
      </c>
      <c r="W10" s="45">
        <v>0</v>
      </c>
      <c r="X10" s="45">
        <f t="shared" si="12"/>
        <v>21125</v>
      </c>
      <c r="Y10" s="45">
        <v>2</v>
      </c>
      <c r="Z10" s="45">
        <f>K10/26/8*Y10</f>
        <v>123.84615384615384</v>
      </c>
      <c r="AA10" s="45">
        <f t="shared" si="1"/>
        <v>1897.5</v>
      </c>
      <c r="AB10" s="45">
        <f t="shared" si="13"/>
        <v>812.5</v>
      </c>
      <c r="AC10" s="47">
        <f t="shared" si="14"/>
        <v>596.48262295081963</v>
      </c>
      <c r="AD10" s="48"/>
      <c r="AE10" s="49"/>
      <c r="AF10" s="49"/>
      <c r="AG10" s="49"/>
      <c r="AH10" s="52"/>
      <c r="AI10" s="52"/>
      <c r="AJ10" s="52"/>
    </row>
    <row r="11" spans="1:37" s="53" customFormat="1" ht="15.6" x14ac:dyDescent="0.3">
      <c r="A11" s="37">
        <v>7</v>
      </c>
      <c r="B11" s="54"/>
      <c r="C11" s="39" t="s">
        <v>37</v>
      </c>
      <c r="D11" s="40"/>
      <c r="E11" s="39">
        <v>30</v>
      </c>
      <c r="F11" s="41">
        <v>4</v>
      </c>
      <c r="G11" s="41">
        <v>0</v>
      </c>
      <c r="H11" s="41">
        <v>0</v>
      </c>
      <c r="I11" s="41">
        <f t="shared" si="2"/>
        <v>26</v>
      </c>
      <c r="J11" s="40">
        <v>25000</v>
      </c>
      <c r="K11" s="42">
        <f t="shared" si="3"/>
        <v>12880</v>
      </c>
      <c r="L11" s="43">
        <f t="shared" si="4"/>
        <v>5152</v>
      </c>
      <c r="M11" s="43">
        <f t="shared" si="5"/>
        <v>6968</v>
      </c>
      <c r="N11" s="43">
        <f t="shared" si="6"/>
        <v>18032</v>
      </c>
      <c r="O11" s="44">
        <f t="shared" si="7"/>
        <v>15000</v>
      </c>
      <c r="P11" s="45">
        <f>O11/100*12</f>
        <v>1800</v>
      </c>
      <c r="Q11" s="45">
        <f t="shared" si="8"/>
        <v>1875</v>
      </c>
      <c r="R11" s="46" t="str">
        <f t="shared" si="9"/>
        <v>200</v>
      </c>
      <c r="S11" s="45">
        <f t="shared" si="0"/>
        <v>3875</v>
      </c>
      <c r="T11" s="45">
        <f t="shared" si="10"/>
        <v>21125</v>
      </c>
      <c r="U11" s="45">
        <v>0</v>
      </c>
      <c r="V11" s="45">
        <f t="shared" si="11"/>
        <v>0</v>
      </c>
      <c r="W11" s="45">
        <v>0</v>
      </c>
      <c r="X11" s="45">
        <f t="shared" si="12"/>
        <v>21125</v>
      </c>
      <c r="Y11" s="45">
        <v>2</v>
      </c>
      <c r="Z11" s="45">
        <f>K11/26/8*Y11</f>
        <v>123.84615384615384</v>
      </c>
      <c r="AA11" s="45">
        <f t="shared" si="1"/>
        <v>1897.5</v>
      </c>
      <c r="AB11" s="45">
        <f t="shared" si="13"/>
        <v>812.5</v>
      </c>
      <c r="AC11" s="47">
        <f t="shared" si="14"/>
        <v>596.48262295081963</v>
      </c>
      <c r="AD11" s="48"/>
      <c r="AE11" s="49"/>
      <c r="AF11" s="49"/>
      <c r="AG11" s="49"/>
      <c r="AH11" s="52"/>
      <c r="AI11" s="52"/>
      <c r="AJ11" s="52"/>
    </row>
    <row r="12" spans="1:37" s="53" customFormat="1" ht="15.6" x14ac:dyDescent="0.3">
      <c r="A12" s="37">
        <v>8</v>
      </c>
      <c r="B12" s="55"/>
      <c r="C12" s="39" t="s">
        <v>38</v>
      </c>
      <c r="D12" s="40"/>
      <c r="E12" s="39">
        <v>30</v>
      </c>
      <c r="F12" s="41">
        <v>4</v>
      </c>
      <c r="G12" s="41">
        <v>0</v>
      </c>
      <c r="H12" s="41">
        <v>0</v>
      </c>
      <c r="I12" s="41">
        <f t="shared" si="2"/>
        <v>26</v>
      </c>
      <c r="J12" s="40">
        <v>25000</v>
      </c>
      <c r="K12" s="42">
        <f t="shared" si="3"/>
        <v>12880</v>
      </c>
      <c r="L12" s="43">
        <f t="shared" si="4"/>
        <v>5152</v>
      </c>
      <c r="M12" s="43">
        <f t="shared" si="5"/>
        <v>6968</v>
      </c>
      <c r="N12" s="43">
        <f t="shared" si="6"/>
        <v>18032</v>
      </c>
      <c r="O12" s="44">
        <f t="shared" si="7"/>
        <v>15000</v>
      </c>
      <c r="P12" s="45">
        <f>O12/100*12</f>
        <v>1800</v>
      </c>
      <c r="Q12" s="45">
        <f t="shared" si="8"/>
        <v>1875</v>
      </c>
      <c r="R12" s="46" t="str">
        <f t="shared" si="9"/>
        <v>200</v>
      </c>
      <c r="S12" s="45">
        <f t="shared" si="0"/>
        <v>3875</v>
      </c>
      <c r="T12" s="45">
        <f t="shared" si="10"/>
        <v>21125</v>
      </c>
      <c r="U12" s="45">
        <v>0</v>
      </c>
      <c r="V12" s="45">
        <f t="shared" si="11"/>
        <v>0</v>
      </c>
      <c r="W12" s="45">
        <v>0</v>
      </c>
      <c r="X12" s="45">
        <f t="shared" si="12"/>
        <v>21125</v>
      </c>
      <c r="Y12" s="45">
        <v>2</v>
      </c>
      <c r="Z12" s="45">
        <f>K12/26/8*Y12</f>
        <v>123.84615384615384</v>
      </c>
      <c r="AA12" s="45">
        <f t="shared" si="1"/>
        <v>1897.5</v>
      </c>
      <c r="AB12" s="45">
        <f t="shared" si="13"/>
        <v>812.5</v>
      </c>
      <c r="AC12" s="47">
        <f t="shared" si="14"/>
        <v>596.48262295081963</v>
      </c>
      <c r="AD12" s="48"/>
      <c r="AE12" s="49"/>
      <c r="AF12" s="49"/>
      <c r="AG12" s="49"/>
      <c r="AH12" s="52"/>
      <c r="AI12" s="52"/>
      <c r="AJ12" s="52"/>
    </row>
    <row r="13" spans="1:37" s="53" customFormat="1" ht="15.6" x14ac:dyDescent="0.3">
      <c r="A13" s="37">
        <v>9</v>
      </c>
      <c r="B13" s="38"/>
      <c r="C13" s="39" t="s">
        <v>39</v>
      </c>
      <c r="D13" s="40"/>
      <c r="E13" s="39">
        <v>30</v>
      </c>
      <c r="F13" s="41">
        <v>4</v>
      </c>
      <c r="G13" s="41">
        <v>0</v>
      </c>
      <c r="H13" s="41">
        <v>0</v>
      </c>
      <c r="I13" s="41">
        <f t="shared" si="2"/>
        <v>26</v>
      </c>
      <c r="J13" s="40">
        <v>25000</v>
      </c>
      <c r="K13" s="42">
        <f t="shared" si="3"/>
        <v>12880</v>
      </c>
      <c r="L13" s="43">
        <f t="shared" si="4"/>
        <v>5152</v>
      </c>
      <c r="M13" s="43">
        <f t="shared" si="5"/>
        <v>6968</v>
      </c>
      <c r="N13" s="43">
        <f t="shared" si="6"/>
        <v>18032</v>
      </c>
      <c r="O13" s="44">
        <f t="shared" si="7"/>
        <v>15000</v>
      </c>
      <c r="P13" s="45">
        <f>O13/100*12</f>
        <v>1800</v>
      </c>
      <c r="Q13" s="45">
        <f t="shared" si="8"/>
        <v>1875</v>
      </c>
      <c r="R13" s="46" t="str">
        <f t="shared" si="9"/>
        <v>200</v>
      </c>
      <c r="S13" s="45">
        <f t="shared" si="0"/>
        <v>3875</v>
      </c>
      <c r="T13" s="45">
        <f t="shared" si="10"/>
        <v>21125</v>
      </c>
      <c r="U13" s="45">
        <v>0</v>
      </c>
      <c r="V13" s="45">
        <f t="shared" si="11"/>
        <v>0</v>
      </c>
      <c r="W13" s="45">
        <v>0</v>
      </c>
      <c r="X13" s="45">
        <f t="shared" si="12"/>
        <v>21125</v>
      </c>
      <c r="Y13" s="45">
        <v>2</v>
      </c>
      <c r="Z13" s="45">
        <f>K13/26/8*Y13</f>
        <v>123.84615384615384</v>
      </c>
      <c r="AA13" s="45">
        <f t="shared" si="1"/>
        <v>1897.5</v>
      </c>
      <c r="AB13" s="45">
        <f t="shared" si="13"/>
        <v>812.5</v>
      </c>
      <c r="AC13" s="47">
        <f t="shared" si="14"/>
        <v>596.48262295081963</v>
      </c>
      <c r="AD13" s="48"/>
      <c r="AE13" s="49"/>
      <c r="AF13" s="49"/>
      <c r="AG13" s="49"/>
      <c r="AH13" s="52"/>
      <c r="AI13" s="52"/>
      <c r="AJ13" s="52"/>
    </row>
    <row r="14" spans="1:37" s="53" customFormat="1" ht="15.6" x14ac:dyDescent="0.3">
      <c r="A14" s="37">
        <v>10</v>
      </c>
      <c r="B14" s="38"/>
      <c r="C14" s="39" t="s">
        <v>40</v>
      </c>
      <c r="D14" s="40"/>
      <c r="E14" s="39">
        <v>30</v>
      </c>
      <c r="F14" s="41">
        <v>4</v>
      </c>
      <c r="G14" s="41">
        <v>0</v>
      </c>
      <c r="H14" s="41">
        <v>0</v>
      </c>
      <c r="I14" s="41">
        <f t="shared" si="2"/>
        <v>26</v>
      </c>
      <c r="J14" s="40">
        <v>25000</v>
      </c>
      <c r="K14" s="42">
        <f>J14*$M$17</f>
        <v>12880</v>
      </c>
      <c r="L14" s="43">
        <f t="shared" si="4"/>
        <v>5152</v>
      </c>
      <c r="M14" s="43">
        <f t="shared" si="5"/>
        <v>6968</v>
      </c>
      <c r="N14" s="43">
        <f t="shared" si="6"/>
        <v>18032</v>
      </c>
      <c r="O14" s="44">
        <f t="shared" si="7"/>
        <v>15000</v>
      </c>
      <c r="P14" s="45">
        <f>O14/100*12</f>
        <v>1800</v>
      </c>
      <c r="Q14" s="45">
        <f t="shared" si="8"/>
        <v>1875</v>
      </c>
      <c r="R14" s="46" t="str">
        <f>IF(J14&gt;=10000,"200",IF(J14&gt;=7500,"175","0"))</f>
        <v>200</v>
      </c>
      <c r="S14" s="45">
        <f t="shared" si="0"/>
        <v>3875</v>
      </c>
      <c r="T14" s="45">
        <f t="shared" si="10"/>
        <v>21125</v>
      </c>
      <c r="U14" s="45">
        <v>0</v>
      </c>
      <c r="V14" s="45">
        <f>J14/30*U14</f>
        <v>0</v>
      </c>
      <c r="W14" s="45">
        <v>0</v>
      </c>
      <c r="X14" s="45">
        <f t="shared" si="12"/>
        <v>21125</v>
      </c>
      <c r="Y14" s="45">
        <v>2</v>
      </c>
      <c r="Z14" s="45">
        <f>K14/26/8*Y14</f>
        <v>123.84615384615384</v>
      </c>
      <c r="AA14" s="45">
        <f t="shared" si="1"/>
        <v>1897.5</v>
      </c>
      <c r="AB14" s="45">
        <f t="shared" si="13"/>
        <v>812.5</v>
      </c>
      <c r="AC14" s="47">
        <f t="shared" si="14"/>
        <v>596.48262295081963</v>
      </c>
      <c r="AD14" s="48"/>
      <c r="AE14" s="49"/>
      <c r="AF14" s="49"/>
      <c r="AG14" s="49"/>
      <c r="AH14" s="52"/>
      <c r="AI14" s="52"/>
      <c r="AJ14" s="52"/>
    </row>
    <row r="15" spans="1:37" ht="21" x14ac:dyDescent="0.4">
      <c r="A15" s="56">
        <v>38</v>
      </c>
      <c r="B15" s="57"/>
      <c r="C15" s="58" t="s">
        <v>41</v>
      </c>
      <c r="D15" s="59"/>
      <c r="E15" s="58"/>
      <c r="F15" s="60">
        <f>SUM(F5:F14)</f>
        <v>40</v>
      </c>
      <c r="G15" s="60">
        <f>SUM(G5:G14)</f>
        <v>0</v>
      </c>
      <c r="H15" s="60"/>
      <c r="I15" s="60">
        <f>SUM(I5:I14)</f>
        <v>260</v>
      </c>
      <c r="J15" s="59"/>
      <c r="K15" s="60">
        <f>SUM(K5:K14)</f>
        <v>128800</v>
      </c>
      <c r="L15" s="60">
        <f>SUM(L5:L14)</f>
        <v>51520</v>
      </c>
      <c r="M15" s="60">
        <f>SUM(M5:M14)</f>
        <v>69680</v>
      </c>
      <c r="N15" s="60">
        <f>SUM(N5:N14)</f>
        <v>180320</v>
      </c>
      <c r="O15" s="61">
        <f>SUM(O5:O14)</f>
        <v>150000</v>
      </c>
      <c r="P15" s="61">
        <f>SUM(P5:P14)</f>
        <v>18000</v>
      </c>
      <c r="Q15" s="61">
        <f>SUM(Q5:Q14)</f>
        <v>18750</v>
      </c>
      <c r="R15" s="61">
        <f>SUM(R5:R14)</f>
        <v>0</v>
      </c>
      <c r="S15" s="61">
        <f>SUM(S5:S14)</f>
        <v>38750</v>
      </c>
      <c r="T15" s="61">
        <f>SUM(T5:T14)</f>
        <v>211250</v>
      </c>
      <c r="U15" s="61">
        <f>SUM(U5:U14)</f>
        <v>0</v>
      </c>
      <c r="V15" s="61">
        <f>SUM(V5:V14)</f>
        <v>0</v>
      </c>
      <c r="W15" s="61">
        <f>SUM(W5:W14)</f>
        <v>0</v>
      </c>
      <c r="X15" s="61">
        <f>SUM(X5:X14)</f>
        <v>211250</v>
      </c>
      <c r="Y15" s="61">
        <f>SUM(Y5:Y14)</f>
        <v>20</v>
      </c>
      <c r="Z15" s="61">
        <f>SUM(Z5:Z14)</f>
        <v>1238.4615384615383</v>
      </c>
      <c r="AA15" s="61">
        <f>SUM(AA5:AA14)</f>
        <v>18975</v>
      </c>
      <c r="AB15" s="61">
        <f>SUM(AB5:AB14)</f>
        <v>8125</v>
      </c>
      <c r="AC15" s="62">
        <f>SUM(AC5:AC14)</f>
        <v>5964.8262295081977</v>
      </c>
      <c r="AD15" s="63"/>
      <c r="AE15" s="63"/>
      <c r="AF15" s="63"/>
      <c r="AG15" s="63"/>
      <c r="AH15" s="63"/>
      <c r="AI15" s="63"/>
      <c r="AJ15" s="63"/>
    </row>
    <row r="17" spans="12:30" ht="28.8" x14ac:dyDescent="0.3">
      <c r="L17" s="64" t="s">
        <v>42</v>
      </c>
      <c r="M17" s="65">
        <f>12880/25000</f>
        <v>0.51519999999999999</v>
      </c>
      <c r="N17" s="66" t="s">
        <v>43</v>
      </c>
    </row>
    <row r="18" spans="12:30" ht="28.8" x14ac:dyDescent="0.3">
      <c r="L18" s="64" t="s">
        <v>44</v>
      </c>
      <c r="M18" s="65">
        <f>5152/J5</f>
        <v>0.20608000000000001</v>
      </c>
      <c r="N18" s="66" t="s">
        <v>43</v>
      </c>
    </row>
    <row r="23" spans="12:30" x14ac:dyDescent="0.3">
      <c r="Q23" s="50"/>
      <c r="R23" s="50"/>
      <c r="S23" s="50"/>
      <c r="T23" s="67"/>
      <c r="U23" s="67"/>
      <c r="V23" s="67"/>
      <c r="W23" s="36"/>
      <c r="X23" s="67"/>
      <c r="Y23" s="36"/>
      <c r="Z23" s="36"/>
      <c r="AA23" s="67"/>
      <c r="AB23" s="36"/>
      <c r="AC23" s="67"/>
      <c r="AD23" s="67"/>
    </row>
  </sheetData>
  <mergeCells count="17">
    <mergeCell ref="AB3:AC3"/>
    <mergeCell ref="Q3:R3"/>
    <mergeCell ref="U3:U4"/>
    <mergeCell ref="V3:V4"/>
    <mergeCell ref="W3:W4"/>
    <mergeCell ref="X3:X4"/>
    <mergeCell ref="Y3:Z3"/>
    <mergeCell ref="A1:AC1"/>
    <mergeCell ref="A3:A4"/>
    <mergeCell ref="C3:C4"/>
    <mergeCell ref="D3:D4"/>
    <mergeCell ref="E3:E4"/>
    <mergeCell ref="F3:F4"/>
    <mergeCell ref="G3:G4"/>
    <mergeCell ref="H3:H4"/>
    <mergeCell ref="I3:I4"/>
    <mergeCell ref="K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</dc:creator>
  <cp:lastModifiedBy>Prathmesh</cp:lastModifiedBy>
  <dcterms:created xsi:type="dcterms:W3CDTF">2021-10-04T19:25:37Z</dcterms:created>
  <dcterms:modified xsi:type="dcterms:W3CDTF">2021-10-04T19:25:59Z</dcterms:modified>
</cp:coreProperties>
</file>