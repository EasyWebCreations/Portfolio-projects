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asyTechs\IT Enthusiasts\ITE-repo\sheets\"/>
    </mc:Choice>
  </mc:AlternateContent>
  <xr:revisionPtr revIDLastSave="0" documentId="13_ncr:1_{41D85C6A-B5F9-4C15-BFDF-707B94762156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Employee Details" sheetId="4" r:id="rId1"/>
    <sheet name="Site Details" sheetId="5" r:id="rId2"/>
    <sheet name="Salary Slip Details" sheetId="1" r:id="rId3"/>
    <sheet name="PF FORMAT" sheetId="2" r:id="rId4"/>
    <sheet name="ESIC FORMAT" sheetId="3" r:id="rId5"/>
    <sheet name="NEFT BANK FORMA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F2" i="2"/>
  <c r="H13" i="1" l="1"/>
  <c r="D13" i="1"/>
  <c r="D14" i="1" l="1"/>
  <c r="D15" i="1" l="1"/>
  <c r="D19" i="1" s="1"/>
  <c r="H15" i="1" s="1"/>
  <c r="H19" i="1" s="1"/>
  <c r="G11" i="1" s="1"/>
</calcChain>
</file>

<file path=xl/sharedStrings.xml><?xml version="1.0" encoding="utf-8"?>
<sst xmlns="http://schemas.openxmlformats.org/spreadsheetml/2006/main" count="877" uniqueCount="255">
  <si>
    <t xml:space="preserve">Techno Energy Engineering Private Limited </t>
  </si>
  <si>
    <t>Salary slip</t>
  </si>
  <si>
    <t xml:space="preserve">Employee Name </t>
  </si>
  <si>
    <t>Month</t>
  </si>
  <si>
    <t>Designation</t>
  </si>
  <si>
    <t>UAN</t>
  </si>
  <si>
    <t xml:space="preserve">Present Days </t>
  </si>
  <si>
    <t>Gross Salary</t>
  </si>
  <si>
    <t>Net Salary</t>
  </si>
  <si>
    <t>Sr. No.</t>
  </si>
  <si>
    <t>Particular</t>
  </si>
  <si>
    <t>Amount</t>
  </si>
  <si>
    <t xml:space="preserve">Particular </t>
  </si>
  <si>
    <t>Basic + DA</t>
  </si>
  <si>
    <t>PF</t>
  </si>
  <si>
    <t>HRA</t>
  </si>
  <si>
    <t>ESIC</t>
  </si>
  <si>
    <t>PDA</t>
  </si>
  <si>
    <t>PT</t>
  </si>
  <si>
    <t>Other Allowance</t>
  </si>
  <si>
    <t>PH</t>
  </si>
  <si>
    <t>Gross Amount</t>
  </si>
  <si>
    <t>Deduction</t>
  </si>
  <si>
    <t>Amount in words:</t>
  </si>
  <si>
    <t>Sign (Admin)</t>
  </si>
  <si>
    <t>Sign (Employee)</t>
  </si>
  <si>
    <t>Admin</t>
  </si>
  <si>
    <t>Fitter</t>
  </si>
  <si>
    <t>MW Fitter</t>
  </si>
  <si>
    <t>101279681554</t>
  </si>
  <si>
    <t>Site Name</t>
  </si>
  <si>
    <t>Department</t>
  </si>
  <si>
    <t>ESIC Code</t>
  </si>
  <si>
    <t>Emp. ID</t>
  </si>
  <si>
    <t>LWF</t>
  </si>
  <si>
    <t>Advance</t>
  </si>
  <si>
    <t>Leave Payment</t>
  </si>
  <si>
    <t>Other Deduction</t>
  </si>
  <si>
    <t>Leaves</t>
  </si>
  <si>
    <t>Previous Balance</t>
  </si>
  <si>
    <t>Earned</t>
  </si>
  <si>
    <t>Availed</t>
  </si>
  <si>
    <t>Current Balance</t>
  </si>
  <si>
    <t>C.OFF</t>
  </si>
  <si>
    <t>Earned Leaves</t>
  </si>
  <si>
    <t>IBR Welder</t>
  </si>
  <si>
    <t>SITE ID</t>
  </si>
  <si>
    <t>EMP ID</t>
  </si>
  <si>
    <t>EMP NAME</t>
  </si>
  <si>
    <t>ADHHAR</t>
  </si>
  <si>
    <t>PAN</t>
  </si>
  <si>
    <t>ADDRESS</t>
  </si>
  <si>
    <t>MO.NO.</t>
  </si>
  <si>
    <t>UAN NO.</t>
  </si>
  <si>
    <t>ESIC NO.</t>
  </si>
  <si>
    <t>BANK A/C No.</t>
  </si>
  <si>
    <t>IFSC CODE</t>
  </si>
  <si>
    <t>BANK NAME</t>
  </si>
  <si>
    <t>BANK ADDRESS</t>
  </si>
  <si>
    <t>DESIGNATION</t>
  </si>
  <si>
    <t>CATEGARY</t>
  </si>
  <si>
    <t>BASIC</t>
  </si>
  <si>
    <t>SPL.ALLOWANCE</t>
  </si>
  <si>
    <t>STATUS (ACTIVE/INACTIVE</t>
  </si>
  <si>
    <t>SITE NAME</t>
  </si>
  <si>
    <t>TLWCPGCL</t>
  </si>
  <si>
    <t>TLFIL</t>
  </si>
  <si>
    <t>TLSCIL</t>
  </si>
  <si>
    <t>TLPCPL</t>
  </si>
  <si>
    <t>TLALLANA</t>
  </si>
  <si>
    <t>TLUSTKWPCL</t>
  </si>
  <si>
    <t>TLABD</t>
  </si>
  <si>
    <t>Oza Maulik</t>
  </si>
  <si>
    <t>Amit Kumar Singh</t>
  </si>
  <si>
    <t>Mantu Mishra</t>
  </si>
  <si>
    <t>Md. Pravez</t>
  </si>
  <si>
    <t>Rajesh Yadav</t>
  </si>
  <si>
    <t>Nimay Kapardar</t>
  </si>
  <si>
    <t>Natwar Sharma</t>
  </si>
  <si>
    <t>Mithu Singh Panwar</t>
  </si>
  <si>
    <t>Bharat Chudasama</t>
  </si>
  <si>
    <t>Omprakash Sasiya</t>
  </si>
  <si>
    <t>Site Incharge</t>
  </si>
  <si>
    <t>Senior Fitter</t>
  </si>
  <si>
    <t>Electrician</t>
  </si>
  <si>
    <t>Senior Foreman</t>
  </si>
  <si>
    <t>Senior Operator</t>
  </si>
  <si>
    <t>Senior Helper</t>
  </si>
  <si>
    <t>Senior Boiler Operator</t>
  </si>
  <si>
    <t>Skilled</t>
  </si>
  <si>
    <t>NA</t>
  </si>
  <si>
    <t>1122XXXXYYYY</t>
  </si>
  <si>
    <t>1122XXXXYY</t>
  </si>
  <si>
    <t>ABCD0001122</t>
  </si>
  <si>
    <t>3344XXXXYYYY</t>
  </si>
  <si>
    <t>ABCDXYZ</t>
  </si>
  <si>
    <t>ABD</t>
  </si>
  <si>
    <t>ABCDE</t>
  </si>
  <si>
    <t>RAOSAHEB SHANKAR PATIL</t>
  </si>
  <si>
    <t>SANKET DATTATRAY SHELAKE</t>
  </si>
  <si>
    <t>AKSHAY MOHAN PATIL</t>
  </si>
  <si>
    <t>VINAYAK KRISHNATH PATIL</t>
  </si>
  <si>
    <t>PRADIP SADASHIV PATIL</t>
  </si>
  <si>
    <t>TLWCPGL</t>
  </si>
  <si>
    <t>100438769961</t>
  </si>
  <si>
    <t>100438165512</t>
  </si>
  <si>
    <t>100438448729</t>
  </si>
  <si>
    <t>100438354287</t>
  </si>
  <si>
    <t>100438695143</t>
  </si>
  <si>
    <t>ABCD0001123</t>
  </si>
  <si>
    <t>ABCD0001124</t>
  </si>
  <si>
    <t>ABCD0001125</t>
  </si>
  <si>
    <t>ABCD0001126</t>
  </si>
  <si>
    <t>ABCD0001127</t>
  </si>
  <si>
    <t>Dm Ope</t>
  </si>
  <si>
    <t>DM Ope</t>
  </si>
  <si>
    <t>SUSHANT ASHOK BHOSALE</t>
  </si>
  <si>
    <t>NITIN SARJERAO SORATE</t>
  </si>
  <si>
    <t>PRAVIN RAJARAM VADINGEKAR</t>
  </si>
  <si>
    <t>ARVIND  ANANDRAO LOHAR</t>
  </si>
  <si>
    <t>SUMIT PANDURANG PATIL</t>
  </si>
  <si>
    <t>UnSkilled</t>
  </si>
  <si>
    <t>101308608188</t>
  </si>
  <si>
    <t>100438717041</t>
  </si>
  <si>
    <t>100438602509</t>
  </si>
  <si>
    <t>100931341456</t>
  </si>
  <si>
    <t>100964209588</t>
  </si>
  <si>
    <t>SURESH CHANDRA PAUL</t>
  </si>
  <si>
    <t>RAMESH KUMAR KUSHWAHA</t>
  </si>
  <si>
    <t>KRISHNAKANTH</t>
  </si>
  <si>
    <t>Helper</t>
  </si>
  <si>
    <t>FIRST CLASS BOILER OPERATOR</t>
  </si>
  <si>
    <t>VIKASH SINGH</t>
  </si>
  <si>
    <t>SANDEEP CHAUHAN</t>
  </si>
  <si>
    <t>PRAVIN PRATAP KHATU</t>
  </si>
  <si>
    <t>TURBINE OPERATOR</t>
  </si>
  <si>
    <t>BOILER  OPERATOR</t>
  </si>
  <si>
    <t>DHARMENDRA KUMAR YADAV</t>
  </si>
  <si>
    <t>ASHOK KUMAR  MAURYA</t>
  </si>
  <si>
    <t>NARENDRA PRASAD SINGH</t>
  </si>
  <si>
    <t>AHP/CHP OPERATOR</t>
  </si>
  <si>
    <t>VIRENDRA PRATAP SHIRKE</t>
  </si>
  <si>
    <t>AMOL ANANT RAMANE</t>
  </si>
  <si>
    <t>GOPAL RAJUJI ZADE</t>
  </si>
  <si>
    <t>ELECTRICAL - TECHNICIAN</t>
  </si>
  <si>
    <t>ROOPCHANDRA GAUTAM</t>
  </si>
  <si>
    <t>BHARAT UPADHYAY</t>
  </si>
  <si>
    <t>RAMASHANKAR PRASAD</t>
  </si>
  <si>
    <t>MECHANICAL - TECHNICIAN</t>
  </si>
  <si>
    <t>SANKESH SHANKAR PHANSEKAR</t>
  </si>
  <si>
    <t>MUJAMMIL IKABAL FADNAIK</t>
  </si>
  <si>
    <t>RAKESH RAMESH UBARE</t>
  </si>
  <si>
    <t xml:space="preserve"> INSTRUMENT - TECHNICIAN</t>
  </si>
  <si>
    <t>101468285730</t>
  </si>
  <si>
    <t>100048365001</t>
  </si>
  <si>
    <t>AJINKYA ANIL PATIL</t>
  </si>
  <si>
    <t>Amarish Kumar</t>
  </si>
  <si>
    <t>101657109148</t>
  </si>
  <si>
    <t>101428045375</t>
  </si>
  <si>
    <t>Boiler 2 Class</t>
  </si>
  <si>
    <t>Turbine DCS Ope</t>
  </si>
  <si>
    <t>KULBHUSHAN KISAN MORE</t>
  </si>
  <si>
    <t>HARESH SUDHIR DHANDRUT</t>
  </si>
  <si>
    <t>101472151643</t>
  </si>
  <si>
    <t>101678138176</t>
  </si>
  <si>
    <t>Fitter/ Welder</t>
  </si>
  <si>
    <t>SemiSkilled</t>
  </si>
  <si>
    <t>RUPESH CHANDRAKANT NIKAM</t>
  </si>
  <si>
    <t>100907858110</t>
  </si>
  <si>
    <t>Fireman</t>
  </si>
  <si>
    <t>Chandan Kumar</t>
  </si>
  <si>
    <t>Santosh Kumar Singh</t>
  </si>
  <si>
    <t>Boiler 1st Class</t>
  </si>
  <si>
    <t>Boiler 2st Class</t>
  </si>
  <si>
    <t>Sonoo Kumar</t>
  </si>
  <si>
    <t>Ravindra Prasad</t>
  </si>
  <si>
    <t>Jayendra Janardan Gharat</t>
  </si>
  <si>
    <t>Thermosyphon Opt.</t>
  </si>
  <si>
    <t>PANDU MENGAL</t>
  </si>
  <si>
    <t>101089292386</t>
  </si>
  <si>
    <t>TLALLANNA</t>
  </si>
  <si>
    <t>DADAJI SHAMRAO PIMPALKAR</t>
  </si>
  <si>
    <t>Satyam Budhauliya</t>
  </si>
  <si>
    <t>DILIP PATEL</t>
  </si>
  <si>
    <t>RAJESH NAIK</t>
  </si>
  <si>
    <t>SIDDHESH EKNATH PALAVANKAR</t>
  </si>
  <si>
    <t>SOMESH NILKANTH THAKRE</t>
  </si>
  <si>
    <t>GANESH NARESH RANE</t>
  </si>
  <si>
    <t>KAMALKANT</t>
  </si>
  <si>
    <t>Krushnkumar Rahangdale</t>
  </si>
  <si>
    <t>WTP Operator</t>
  </si>
  <si>
    <t>MWQ Fitter</t>
  </si>
  <si>
    <t>CHP Operator</t>
  </si>
  <si>
    <t>101648358066</t>
  </si>
  <si>
    <t>101509531229</t>
  </si>
  <si>
    <t>101512786734</t>
  </si>
  <si>
    <t>101648358032</t>
  </si>
  <si>
    <t>100129150891</t>
  </si>
  <si>
    <t>101266129938</t>
  </si>
  <si>
    <t>101235811748</t>
  </si>
  <si>
    <t>101509531217</t>
  </si>
  <si>
    <t>PRADIP Nakate</t>
  </si>
  <si>
    <t>TLSCILROHA</t>
  </si>
  <si>
    <t>TLSCILMAHAD</t>
  </si>
  <si>
    <t>Avinash Mahadik</t>
  </si>
  <si>
    <t>Shrikant Singh</t>
  </si>
  <si>
    <t>Vrushabh Yenurkar</t>
  </si>
  <si>
    <t>Jitendra Samal</t>
  </si>
  <si>
    <t>WELSPUN CAPTIVE POWER GENERATION COMPANY LIMITED,GANDHIDHAM</t>
  </si>
  <si>
    <t>FINOLEX INDUSTRIES LIMITED ,RATNAGIRI</t>
  </si>
  <si>
    <t>SUDARSHAN CHEMICAL INDUSTRIES LIMITED,ROHA</t>
  </si>
  <si>
    <t>PRASOL CHEMICAL PRIVATE LIMITED,KHOPOLI</t>
  </si>
  <si>
    <t>ALLANA PRIVATE LIMITED,KHOPOLI</t>
  </si>
  <si>
    <t>URJANKUR TATYASAHEB KORE WARNA POWER COMPANY LIMITED ,KOLHAPUR</t>
  </si>
  <si>
    <t>ALLIED BLENDERS &amp;DISTELLERIES LIMITED,TELANGANA</t>
  </si>
  <si>
    <t>SUDARSHAN CHEMICAL INDUSTRIES LIMITED,MAHAD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</si>
  <si>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</si>
  <si>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</si>
  <si>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</si>
  <si>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</si>
  <si>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</si>
  <si>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</si>
  <si>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</si>
  <si>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</si>
  <si>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</si>
  <si>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</si>
  <si>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EMPLOYEE NAME</t>
  </si>
  <si>
    <t>GROSS SALARY</t>
  </si>
  <si>
    <t>12&amp;@EPF WAGES</t>
  </si>
  <si>
    <t>8.33%EPS WAGES</t>
  </si>
  <si>
    <t>3.67%EDLI WAGES</t>
  </si>
  <si>
    <t>IP NUMBER</t>
  </si>
  <si>
    <t>IP NAME</t>
  </si>
  <si>
    <t>NO.OF DAYS</t>
  </si>
  <si>
    <t>TOTAL MONTHLY WAGES</t>
  </si>
  <si>
    <t>REASON CODE FOR ZERO WORKING DAYS</t>
  </si>
  <si>
    <t>LAST WORKING DAY</t>
  </si>
  <si>
    <t>ESIC NUMBER</t>
  </si>
  <si>
    <t>ACTUAL WORKING DAYS</t>
  </si>
  <si>
    <t>SR,NO.</t>
  </si>
  <si>
    <t>BENEFICARY NAME</t>
  </si>
  <si>
    <t>BENFF A/C NUMBER</t>
  </si>
  <si>
    <t>BEN ADDRESS</t>
  </si>
  <si>
    <t>AMOUNT</t>
  </si>
  <si>
    <t>HEADS</t>
  </si>
  <si>
    <t>EMPLOYEE BANK NAME</t>
  </si>
  <si>
    <t>EMPLOYEE A/C NUMBER</t>
  </si>
  <si>
    <t>EMPLOYEE BANK IFSC CODE</t>
  </si>
  <si>
    <t>EMPLOYEE BANK ADDRESS</t>
  </si>
  <si>
    <t>SALARY OR OT OR BONUS OR LEAVE</t>
  </si>
  <si>
    <t>Site wise</t>
  </si>
  <si>
    <t>Sitewise</t>
  </si>
  <si>
    <t>working days</t>
  </si>
  <si>
    <t>weekly off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</si>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</sst>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Calibri"/>
      <family val="2"/>
    </font>
    <font>
      <sz val="11"/>
      <color rgb="FFFF0000"/>
      <name val="Segoe UI"/>
      <family val="2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b/>
      <sz val="10"/>
      <color indexed="9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7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Border="1"/>
    <xf numFmtId="0" fontId="1" fillId="0" borderId="5" xfId="0" applyFont="1" applyBorder="1" applyAlignment="1"/>
    <xf numFmtId="0" fontId="1" fillId="0" borderId="5" xfId="0" applyFont="1" applyBorder="1" applyAlignment="1">
      <alignment horizontal="left"/>
    </xf>
    <xf numFmtId="0" fontId="1" fillId="0" borderId="13" xfId="0" applyFont="1" applyBorder="1"/>
    <xf numFmtId="0" fontId="0" fillId="0" borderId="17" xfId="0" applyBorder="1"/>
    <xf numFmtId="0" fontId="0" fillId="0" borderId="4" xfId="0" applyBorder="1"/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" fontId="0" fillId="0" borderId="11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9" xfId="0" applyFont="1" applyBorder="1" applyAlignment="1"/>
    <xf numFmtId="0" fontId="1" fillId="0" borderId="12" xfId="0" applyFont="1" applyBorder="1" applyAlignment="1"/>
    <xf numFmtId="0" fontId="1" fillId="0" borderId="11" xfId="0" applyFont="1" applyBorder="1" applyAlignment="1"/>
    <xf numFmtId="0" fontId="0" fillId="0" borderId="0" xfId="0" applyAlignment="1">
      <alignment horizontal="center"/>
    </xf>
    <xf numFmtId="0" fontId="5" fillId="0" borderId="4" xfId="0" applyFont="1" applyBorder="1" applyAlignment="1"/>
    <xf numFmtId="0" fontId="1" fillId="0" borderId="4" xfId="0" applyFont="1" applyBorder="1" applyAlignment="1">
      <alignment vertical="top"/>
    </xf>
    <xf numFmtId="1" fontId="8" fillId="0" borderId="5" xfId="0" applyNumberFormat="1" applyFont="1" applyFill="1" applyBorder="1" applyAlignment="1">
      <alignment horizontal="center" vertical="center" wrapText="1"/>
    </xf>
    <xf numFmtId="1" fontId="8" fillId="0" borderId="5" xfId="1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1" fontId="10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49" fontId="12" fillId="2" borderId="5" xfId="0" applyNumberFormat="1" applyFont="1" applyFill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17" fillId="0" borderId="5" xfId="2" applyNumberForma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Font="1" applyBorder="1" applyAlignment="1">
      <alignment horizontal="left"/>
    </xf>
    <xf numFmtId="17" fontId="0" fillId="0" borderId="5" xfId="0" applyNumberFormat="1" applyBorder="1" applyAlignment="1">
      <alignment horizontal="center"/>
    </xf>
    <xf numFmtId="17" fontId="0" fillId="0" borderId="9" xfId="0" applyNumberForma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/>
    <xf numFmtId="0" fontId="1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7">
    <dxf>
      <fill>
        <patternFill patternType="solid">
          <bgColor rgb="FFFFFF00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&amp;@EPF%20WAGE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12&amp;@EPF%20WA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"/>
  <sheetViews>
    <sheetView workbookViewId="0"/>
  </sheetViews>
  <sheetFormatPr defaultColWidth="8.88671875" defaultRowHeight="34.950000000000003" customHeight="1" x14ac:dyDescent="0.3"/>
  <cols>
    <col min="1" max="1" width="7.109375" style="35" bestFit="1" customWidth="1"/>
    <col min="2" max="2" width="12.33203125" style="35" bestFit="1" customWidth="1"/>
    <col min="3" max="3" width="27.109375" style="35" bestFit="1" customWidth="1"/>
    <col min="4" max="4" width="13.6640625" style="35" customWidth="1"/>
    <col min="5" max="5" width="11.5546875" style="35" bestFit="1" customWidth="1"/>
    <col min="6" max="6" width="12.88671875" style="35" bestFit="1" customWidth="1"/>
    <col min="7" max="7" width="12" style="35" customWidth="1"/>
    <col min="8" max="8" width="15.6640625" style="35" bestFit="1" customWidth="1"/>
    <col min="9" max="9" width="11" style="35" bestFit="1" customWidth="1"/>
    <col min="10" max="10" width="13.44140625" style="35" bestFit="1" customWidth="1"/>
    <col min="11" max="11" width="12.88671875" style="35" bestFit="1" customWidth="1"/>
    <col min="12" max="12" width="11.88671875" style="35" bestFit="1" customWidth="1"/>
    <col min="13" max="13" width="14.5546875" style="35" bestFit="1" customWidth="1"/>
    <col min="14" max="14" width="16" style="35" bestFit="1" customWidth="1"/>
    <col min="15" max="15" width="10.109375" style="35" bestFit="1" customWidth="1"/>
    <col min="16" max="16" width="7.5546875" style="35" customWidth="1"/>
    <col min="17" max="17" width="5" style="35" bestFit="1" customWidth="1"/>
    <col min="18" max="18" width="15.88671875" style="35" bestFit="1" customWidth="1"/>
    <col min="19" max="19" width="24.5546875" style="35" bestFit="1" customWidth="1"/>
    <col min="20" max="16384" width="8.88671875" style="35"/>
  </cols>
  <sheetData>
    <row r="1" spans="1:22" s="43" customFormat="1" ht="34.950000000000003" customHeight="1" x14ac:dyDescent="0.3">
      <c r="A1" s="42" t="s">
        <v>47</v>
      </c>
      <c r="B1" s="42" t="s">
        <v>46</v>
      </c>
      <c r="C1" s="42" t="s">
        <v>48</v>
      </c>
      <c r="D1" s="42" t="s">
        <v>49</v>
      </c>
      <c r="E1" s="42" t="s">
        <v>50</v>
      </c>
      <c r="F1" s="42" t="s">
        <v>51</v>
      </c>
      <c r="G1" s="42" t="s">
        <v>52</v>
      </c>
      <c r="H1" s="42" t="s">
        <v>53</v>
      </c>
      <c r="I1" s="42" t="s">
        <v>54</v>
      </c>
      <c r="J1" s="42" t="s">
        <v>55</v>
      </c>
      <c r="K1" s="42" t="s">
        <v>56</v>
      </c>
      <c r="L1" s="42" t="s">
        <v>57</v>
      </c>
      <c r="M1" s="42" t="s">
        <v>58</v>
      </c>
      <c r="N1" s="42" t="s">
        <v>59</v>
      </c>
      <c r="O1" s="42" t="s">
        <v>60</v>
      </c>
      <c r="P1" s="42" t="s">
        <v>61</v>
      </c>
      <c r="Q1" s="42" t="s">
        <v>15</v>
      </c>
      <c r="R1" s="42" t="s">
        <v>62</v>
      </c>
      <c r="S1" s="42" t="s">
        <v>63</v>
      </c>
    </row>
    <row r="2" spans="1:22" ht="34.950000000000003" customHeight="1" x14ac:dyDescent="0.3">
      <c r="A2" s="39"/>
      <c r="B2" s="39" t="s">
        <v>103</v>
      </c>
      <c r="C2" s="27" t="s">
        <v>72</v>
      </c>
      <c r="D2" s="39" t="s">
        <v>91</v>
      </c>
      <c r="E2" s="39" t="s">
        <v>92</v>
      </c>
      <c r="F2" s="39" t="s">
        <v>95</v>
      </c>
      <c r="G2" s="39">
        <v>8237002632</v>
      </c>
      <c r="H2" s="22">
        <v>100224207893</v>
      </c>
      <c r="I2" s="39" t="s">
        <v>90</v>
      </c>
      <c r="J2" s="39" t="s">
        <v>94</v>
      </c>
      <c r="K2" s="39" t="s">
        <v>93</v>
      </c>
      <c r="L2" s="39" t="s">
        <v>96</v>
      </c>
      <c r="M2" s="39" t="s">
        <v>97</v>
      </c>
      <c r="N2" s="27" t="s">
        <v>82</v>
      </c>
      <c r="O2" s="39" t="s">
        <v>89</v>
      </c>
      <c r="P2" s="39">
        <v>12000</v>
      </c>
      <c r="Q2" s="39">
        <v>4800</v>
      </c>
      <c r="R2" s="39">
        <v>3800</v>
      </c>
      <c r="S2" s="39"/>
      <c r="T2" s="35" t="s">
        <v>252</v>
      </c>
      <c r="V2" s="35">
        <v>25</v>
      </c>
    </row>
    <row r="3" spans="1:22" ht="34.950000000000003" customHeight="1" x14ac:dyDescent="0.3">
      <c r="A3" s="39"/>
      <c r="B3" s="39" t="s">
        <v>103</v>
      </c>
      <c r="C3" s="28" t="s">
        <v>73</v>
      </c>
      <c r="D3" s="39" t="s">
        <v>91</v>
      </c>
      <c r="E3" s="39" t="s">
        <v>92</v>
      </c>
      <c r="F3" s="39" t="s">
        <v>95</v>
      </c>
      <c r="G3" s="39">
        <v>8237002632</v>
      </c>
      <c r="H3" s="23">
        <v>101225804076</v>
      </c>
      <c r="I3" s="39" t="s">
        <v>90</v>
      </c>
      <c r="J3" s="39" t="s">
        <v>94</v>
      </c>
      <c r="K3" s="39" t="s">
        <v>93</v>
      </c>
      <c r="L3" s="39" t="s">
        <v>96</v>
      </c>
      <c r="M3" s="39" t="s">
        <v>97</v>
      </c>
      <c r="N3" s="27" t="s">
        <v>45</v>
      </c>
      <c r="O3" s="39" t="s">
        <v>89</v>
      </c>
      <c r="P3" s="39">
        <v>12000</v>
      </c>
      <c r="Q3" s="39">
        <v>4800</v>
      </c>
      <c r="R3" s="39">
        <v>3800</v>
      </c>
      <c r="S3" s="39"/>
      <c r="T3" s="35" t="s">
        <v>253</v>
      </c>
      <c r="V3" s="35">
        <v>4</v>
      </c>
    </row>
    <row r="4" spans="1:22" ht="34.950000000000003" customHeight="1" x14ac:dyDescent="0.3">
      <c r="A4" s="39"/>
      <c r="B4" s="39" t="s">
        <v>103</v>
      </c>
      <c r="C4" s="27" t="s">
        <v>74</v>
      </c>
      <c r="D4" s="39" t="s">
        <v>91</v>
      </c>
      <c r="E4" s="39" t="s">
        <v>92</v>
      </c>
      <c r="F4" s="39" t="s">
        <v>95</v>
      </c>
      <c r="G4" s="39">
        <v>8237002632</v>
      </c>
      <c r="H4" s="22">
        <v>100222831987</v>
      </c>
      <c r="I4" s="39" t="s">
        <v>90</v>
      </c>
      <c r="J4" s="39" t="s">
        <v>94</v>
      </c>
      <c r="K4" s="39" t="s">
        <v>93</v>
      </c>
      <c r="L4" s="39" t="s">
        <v>96</v>
      </c>
      <c r="M4" s="39" t="s">
        <v>97</v>
      </c>
      <c r="N4" s="27" t="s">
        <v>83</v>
      </c>
      <c r="O4" s="39" t="s">
        <v>89</v>
      </c>
      <c r="P4" s="39">
        <v>12000</v>
      </c>
      <c r="Q4" s="39">
        <v>4800</v>
      </c>
      <c r="R4" s="39">
        <v>3800</v>
      </c>
      <c r="S4" s="39"/>
      <c r="T4" s="35" t="s">
        <v>254</v>
      </c>
      <c r="V4" s="35">
        <v>2</v>
      </c>
    </row>
    <row r="5" spans="1:22" ht="34.950000000000003" customHeight="1" x14ac:dyDescent="0.3">
      <c r="A5" s="39"/>
      <c r="B5" s="39" t="s">
        <v>103</v>
      </c>
      <c r="C5" s="28" t="s">
        <v>75</v>
      </c>
      <c r="D5" s="39" t="s">
        <v>91</v>
      </c>
      <c r="E5" s="39" t="s">
        <v>92</v>
      </c>
      <c r="F5" s="39" t="s">
        <v>95</v>
      </c>
      <c r="G5" s="39">
        <v>8237002632</v>
      </c>
      <c r="H5" s="22">
        <v>100621301967</v>
      </c>
      <c r="I5" s="39" t="s">
        <v>90</v>
      </c>
      <c r="J5" s="39" t="s">
        <v>94</v>
      </c>
      <c r="K5" s="39" t="s">
        <v>93</v>
      </c>
      <c r="L5" s="39" t="s">
        <v>96</v>
      </c>
      <c r="M5" s="39" t="s">
        <v>97</v>
      </c>
      <c r="N5" s="27" t="s">
        <v>84</v>
      </c>
      <c r="O5" s="39" t="s">
        <v>89</v>
      </c>
      <c r="P5" s="39">
        <v>12000</v>
      </c>
      <c r="Q5" s="39">
        <v>4800</v>
      </c>
      <c r="R5" s="39">
        <v>3800</v>
      </c>
      <c r="S5" s="39"/>
    </row>
    <row r="6" spans="1:22" ht="34.950000000000003" customHeight="1" x14ac:dyDescent="0.3">
      <c r="A6" s="39"/>
      <c r="B6" s="39" t="s">
        <v>103</v>
      </c>
      <c r="C6" s="29" t="s">
        <v>76</v>
      </c>
      <c r="D6" s="39" t="s">
        <v>91</v>
      </c>
      <c r="E6" s="39" t="s">
        <v>92</v>
      </c>
      <c r="F6" s="39" t="s">
        <v>95</v>
      </c>
      <c r="G6" s="39">
        <v>8237002632</v>
      </c>
      <c r="H6" s="22">
        <v>100296272650</v>
      </c>
      <c r="I6" s="39" t="s">
        <v>90</v>
      </c>
      <c r="J6" s="39" t="s">
        <v>94</v>
      </c>
      <c r="K6" s="39" t="s">
        <v>93</v>
      </c>
      <c r="L6" s="39" t="s">
        <v>96</v>
      </c>
      <c r="M6" s="39" t="s">
        <v>97</v>
      </c>
      <c r="N6" s="27" t="s">
        <v>85</v>
      </c>
      <c r="O6" s="39" t="s">
        <v>89</v>
      </c>
      <c r="P6" s="39">
        <v>12000</v>
      </c>
      <c r="Q6" s="39">
        <v>4800</v>
      </c>
      <c r="R6" s="39">
        <v>3800</v>
      </c>
      <c r="S6" s="39"/>
    </row>
    <row r="7" spans="1:22" ht="34.950000000000003" customHeight="1" x14ac:dyDescent="0.3">
      <c r="A7" s="39"/>
      <c r="B7" s="39" t="s">
        <v>103</v>
      </c>
      <c r="C7" s="27" t="s">
        <v>77</v>
      </c>
      <c r="D7" s="39" t="s">
        <v>91</v>
      </c>
      <c r="E7" s="39" t="s">
        <v>92</v>
      </c>
      <c r="F7" s="39" t="s">
        <v>95</v>
      </c>
      <c r="G7" s="39">
        <v>8237002632</v>
      </c>
      <c r="H7" s="22">
        <v>100255853660</v>
      </c>
      <c r="I7" s="39" t="s">
        <v>90</v>
      </c>
      <c r="J7" s="39" t="s">
        <v>94</v>
      </c>
      <c r="K7" s="39" t="s">
        <v>93</v>
      </c>
      <c r="L7" s="39" t="s">
        <v>96</v>
      </c>
      <c r="M7" s="39" t="s">
        <v>97</v>
      </c>
      <c r="N7" s="27" t="s">
        <v>83</v>
      </c>
      <c r="O7" s="39" t="s">
        <v>89</v>
      </c>
      <c r="P7" s="39">
        <v>12000</v>
      </c>
      <c r="Q7" s="39">
        <v>4800</v>
      </c>
      <c r="R7" s="39">
        <v>3800</v>
      </c>
      <c r="S7" s="39"/>
    </row>
    <row r="8" spans="1:22" ht="34.950000000000003" customHeight="1" x14ac:dyDescent="0.3">
      <c r="A8" s="39"/>
      <c r="B8" s="39" t="s">
        <v>103</v>
      </c>
      <c r="C8" s="29" t="s">
        <v>78</v>
      </c>
      <c r="D8" s="39" t="s">
        <v>91</v>
      </c>
      <c r="E8" s="39" t="s">
        <v>92</v>
      </c>
      <c r="F8" s="39" t="s">
        <v>95</v>
      </c>
      <c r="G8" s="39">
        <v>8237002632</v>
      </c>
      <c r="H8" s="22">
        <v>100555018884</v>
      </c>
      <c r="I8" s="39" t="s">
        <v>90</v>
      </c>
      <c r="J8" s="39" t="s">
        <v>94</v>
      </c>
      <c r="K8" s="39" t="s">
        <v>93</v>
      </c>
      <c r="L8" s="39" t="s">
        <v>96</v>
      </c>
      <c r="M8" s="39" t="s">
        <v>97</v>
      </c>
      <c r="N8" s="27" t="s">
        <v>86</v>
      </c>
      <c r="O8" s="39" t="s">
        <v>89</v>
      </c>
      <c r="P8" s="39">
        <v>12000</v>
      </c>
      <c r="Q8" s="39">
        <v>4800</v>
      </c>
      <c r="R8" s="39">
        <v>3800</v>
      </c>
      <c r="S8" s="39"/>
    </row>
    <row r="9" spans="1:22" ht="34.950000000000003" customHeight="1" x14ac:dyDescent="0.3">
      <c r="A9" s="39"/>
      <c r="B9" s="39" t="s">
        <v>103</v>
      </c>
      <c r="C9" s="27" t="s">
        <v>79</v>
      </c>
      <c r="D9" s="39" t="s">
        <v>91</v>
      </c>
      <c r="E9" s="39" t="s">
        <v>92</v>
      </c>
      <c r="F9" s="39" t="s">
        <v>95</v>
      </c>
      <c r="G9" s="39">
        <v>8237002632</v>
      </c>
      <c r="H9" s="22">
        <v>100228498952</v>
      </c>
      <c r="I9" s="39" t="s">
        <v>90</v>
      </c>
      <c r="J9" s="39" t="s">
        <v>94</v>
      </c>
      <c r="K9" s="39" t="s">
        <v>93</v>
      </c>
      <c r="L9" s="39" t="s">
        <v>96</v>
      </c>
      <c r="M9" s="39" t="s">
        <v>97</v>
      </c>
      <c r="N9" s="27" t="s">
        <v>87</v>
      </c>
      <c r="O9" s="39" t="s">
        <v>89</v>
      </c>
      <c r="P9" s="39">
        <v>12000</v>
      </c>
      <c r="Q9" s="39">
        <v>4800</v>
      </c>
      <c r="R9" s="39">
        <v>3800</v>
      </c>
      <c r="S9" s="39"/>
    </row>
    <row r="10" spans="1:22" ht="34.950000000000003" customHeight="1" x14ac:dyDescent="0.3">
      <c r="A10" s="39"/>
      <c r="B10" s="39" t="s">
        <v>103</v>
      </c>
      <c r="C10" s="27" t="s">
        <v>80</v>
      </c>
      <c r="D10" s="39" t="s">
        <v>91</v>
      </c>
      <c r="E10" s="39" t="s">
        <v>92</v>
      </c>
      <c r="F10" s="39" t="s">
        <v>95</v>
      </c>
      <c r="G10" s="39">
        <v>8237002632</v>
      </c>
      <c r="H10" s="22">
        <v>100110779655</v>
      </c>
      <c r="I10" s="39" t="s">
        <v>90</v>
      </c>
      <c r="J10" s="39" t="s">
        <v>94</v>
      </c>
      <c r="K10" s="39" t="s">
        <v>93</v>
      </c>
      <c r="L10" s="39" t="s">
        <v>96</v>
      </c>
      <c r="M10" s="39" t="s">
        <v>97</v>
      </c>
      <c r="N10" s="27" t="s">
        <v>88</v>
      </c>
      <c r="O10" s="39" t="s">
        <v>89</v>
      </c>
      <c r="P10" s="39">
        <v>12000</v>
      </c>
      <c r="Q10" s="39">
        <v>4800</v>
      </c>
      <c r="R10" s="39">
        <v>3800</v>
      </c>
      <c r="S10" s="39"/>
    </row>
    <row r="11" spans="1:22" ht="34.950000000000003" customHeight="1" x14ac:dyDescent="0.3">
      <c r="A11" s="39"/>
      <c r="B11" s="39" t="s">
        <v>103</v>
      </c>
      <c r="C11" s="29" t="s">
        <v>81</v>
      </c>
      <c r="D11" s="39" t="s">
        <v>91</v>
      </c>
      <c r="E11" s="39" t="s">
        <v>92</v>
      </c>
      <c r="F11" s="39" t="s">
        <v>95</v>
      </c>
      <c r="G11" s="39">
        <v>8237002632</v>
      </c>
      <c r="H11" s="22">
        <v>100260941170</v>
      </c>
      <c r="I11" s="39" t="s">
        <v>90</v>
      </c>
      <c r="J11" s="39" t="s">
        <v>94</v>
      </c>
      <c r="K11" s="39" t="s">
        <v>93</v>
      </c>
      <c r="L11" s="39" t="s">
        <v>96</v>
      </c>
      <c r="M11" s="39" t="s">
        <v>97</v>
      </c>
      <c r="N11" s="27" t="s">
        <v>86</v>
      </c>
      <c r="O11" s="39" t="s">
        <v>89</v>
      </c>
      <c r="P11" s="39">
        <v>12000</v>
      </c>
      <c r="Q11" s="39">
        <v>4800</v>
      </c>
      <c r="R11" s="39">
        <v>3800</v>
      </c>
      <c r="S11" s="39"/>
    </row>
    <row r="12" spans="1:22" ht="34.950000000000003" customHeight="1" x14ac:dyDescent="0.3">
      <c r="A12" s="39"/>
      <c r="B12" s="39" t="s">
        <v>70</v>
      </c>
      <c r="C12" s="36" t="s">
        <v>98</v>
      </c>
      <c r="D12" s="39" t="s">
        <v>91</v>
      </c>
      <c r="E12" s="39" t="s">
        <v>92</v>
      </c>
      <c r="F12" s="39" t="s">
        <v>95</v>
      </c>
      <c r="G12" s="39">
        <v>8237002632</v>
      </c>
      <c r="H12" s="36" t="s">
        <v>104</v>
      </c>
      <c r="I12" s="39">
        <v>3310714775</v>
      </c>
      <c r="J12" s="39" t="s">
        <v>94</v>
      </c>
      <c r="K12" s="39" t="s">
        <v>109</v>
      </c>
      <c r="L12" s="39" t="s">
        <v>96</v>
      </c>
      <c r="M12" s="39" t="s">
        <v>97</v>
      </c>
      <c r="N12" s="24" t="s">
        <v>26</v>
      </c>
      <c r="O12" s="39" t="s">
        <v>89</v>
      </c>
      <c r="P12" s="39">
        <v>10000</v>
      </c>
      <c r="Q12" s="39">
        <v>4000</v>
      </c>
      <c r="R12" s="39">
        <v>1000</v>
      </c>
      <c r="S12" s="39"/>
    </row>
    <row r="13" spans="1:22" ht="34.950000000000003" customHeight="1" x14ac:dyDescent="0.3">
      <c r="A13" s="39"/>
      <c r="B13" s="39" t="s">
        <v>70</v>
      </c>
      <c r="C13" s="36" t="s">
        <v>99</v>
      </c>
      <c r="D13" s="39" t="s">
        <v>91</v>
      </c>
      <c r="E13" s="39" t="s">
        <v>92</v>
      </c>
      <c r="F13" s="39" t="s">
        <v>95</v>
      </c>
      <c r="G13" s="39">
        <v>8237002632</v>
      </c>
      <c r="H13" s="36" t="s">
        <v>105</v>
      </c>
      <c r="I13" s="39">
        <v>3310736488</v>
      </c>
      <c r="J13" s="39" t="s">
        <v>94</v>
      </c>
      <c r="K13" s="39" t="s">
        <v>110</v>
      </c>
      <c r="L13" s="39" t="s">
        <v>96</v>
      </c>
      <c r="M13" s="39" t="s">
        <v>97</v>
      </c>
      <c r="N13" s="37" t="s">
        <v>114</v>
      </c>
      <c r="O13" s="39" t="s">
        <v>89</v>
      </c>
      <c r="P13" s="39">
        <v>10000</v>
      </c>
      <c r="Q13" s="39">
        <v>4000</v>
      </c>
      <c r="R13" s="39">
        <v>1000</v>
      </c>
      <c r="S13" s="39"/>
    </row>
    <row r="14" spans="1:22" ht="34.950000000000003" customHeight="1" x14ac:dyDescent="0.3">
      <c r="A14" s="39"/>
      <c r="B14" s="39" t="s">
        <v>70</v>
      </c>
      <c r="C14" s="36" t="s">
        <v>100</v>
      </c>
      <c r="D14" s="39" t="s">
        <v>91</v>
      </c>
      <c r="E14" s="39" t="s">
        <v>92</v>
      </c>
      <c r="F14" s="39" t="s">
        <v>95</v>
      </c>
      <c r="G14" s="39">
        <v>8237002632</v>
      </c>
      <c r="H14" s="36" t="s">
        <v>106</v>
      </c>
      <c r="I14" s="39">
        <v>3310734355</v>
      </c>
      <c r="J14" s="39" t="s">
        <v>94</v>
      </c>
      <c r="K14" s="39" t="s">
        <v>111</v>
      </c>
      <c r="L14" s="39" t="s">
        <v>96</v>
      </c>
      <c r="M14" s="39" t="s">
        <v>97</v>
      </c>
      <c r="N14" s="37" t="s">
        <v>115</v>
      </c>
      <c r="O14" s="39" t="s">
        <v>89</v>
      </c>
      <c r="P14" s="39">
        <v>10000</v>
      </c>
      <c r="Q14" s="39">
        <v>4000</v>
      </c>
      <c r="R14" s="39">
        <v>1000</v>
      </c>
      <c r="S14" s="39"/>
    </row>
    <row r="15" spans="1:22" ht="34.950000000000003" customHeight="1" x14ac:dyDescent="0.3">
      <c r="A15" s="39"/>
      <c r="B15" s="39" t="s">
        <v>70</v>
      </c>
      <c r="C15" s="36" t="s">
        <v>101</v>
      </c>
      <c r="D15" s="39" t="s">
        <v>91</v>
      </c>
      <c r="E15" s="39" t="s">
        <v>92</v>
      </c>
      <c r="F15" s="39" t="s">
        <v>95</v>
      </c>
      <c r="G15" s="39">
        <v>8237002632</v>
      </c>
      <c r="H15" s="36" t="s">
        <v>107</v>
      </c>
      <c r="I15" s="39">
        <v>3310734033</v>
      </c>
      <c r="J15" s="39" t="s">
        <v>94</v>
      </c>
      <c r="K15" s="39" t="s">
        <v>112</v>
      </c>
      <c r="L15" s="39" t="s">
        <v>96</v>
      </c>
      <c r="M15" s="39" t="s">
        <v>97</v>
      </c>
      <c r="N15" s="37" t="s">
        <v>115</v>
      </c>
      <c r="O15" s="39" t="s">
        <v>89</v>
      </c>
      <c r="P15" s="39">
        <v>10000</v>
      </c>
      <c r="Q15" s="39">
        <v>4000</v>
      </c>
      <c r="R15" s="39">
        <v>1000</v>
      </c>
      <c r="S15" s="39"/>
    </row>
    <row r="16" spans="1:22" ht="34.950000000000003" customHeight="1" x14ac:dyDescent="0.3">
      <c r="A16" s="39"/>
      <c r="B16" s="39" t="s">
        <v>70</v>
      </c>
      <c r="C16" s="36" t="s">
        <v>102</v>
      </c>
      <c r="D16" s="39" t="s">
        <v>91</v>
      </c>
      <c r="E16" s="39" t="s">
        <v>92</v>
      </c>
      <c r="F16" s="39" t="s">
        <v>95</v>
      </c>
      <c r="G16" s="39">
        <v>8237002632</v>
      </c>
      <c r="H16" s="36" t="s">
        <v>108</v>
      </c>
      <c r="I16" s="39">
        <v>3310734431</v>
      </c>
      <c r="J16" s="39" t="s">
        <v>94</v>
      </c>
      <c r="K16" s="39" t="s">
        <v>113</v>
      </c>
      <c r="L16" s="39" t="s">
        <v>96</v>
      </c>
      <c r="M16" s="39" t="s">
        <v>97</v>
      </c>
      <c r="N16" s="37" t="s">
        <v>115</v>
      </c>
      <c r="O16" s="39" t="s">
        <v>89</v>
      </c>
      <c r="P16" s="39">
        <v>10000</v>
      </c>
      <c r="Q16" s="39">
        <v>4000</v>
      </c>
      <c r="R16" s="39">
        <v>1000</v>
      </c>
      <c r="S16" s="39"/>
    </row>
    <row r="17" spans="1:19" ht="34.950000000000003" customHeight="1" x14ac:dyDescent="0.3">
      <c r="A17" s="39"/>
      <c r="B17" s="39" t="s">
        <v>70</v>
      </c>
      <c r="C17" s="36" t="s">
        <v>116</v>
      </c>
      <c r="D17" s="39" t="s">
        <v>91</v>
      </c>
      <c r="E17" s="39" t="s">
        <v>92</v>
      </c>
      <c r="F17" s="39" t="s">
        <v>95</v>
      </c>
      <c r="G17" s="39">
        <v>8237002632</v>
      </c>
      <c r="H17" s="36" t="s">
        <v>122</v>
      </c>
      <c r="I17" s="39">
        <v>3312478751</v>
      </c>
      <c r="J17" s="39" t="s">
        <v>94</v>
      </c>
      <c r="K17" s="39" t="s">
        <v>113</v>
      </c>
      <c r="L17" s="39" t="s">
        <v>96</v>
      </c>
      <c r="M17" s="39" t="s">
        <v>97</v>
      </c>
      <c r="N17" s="37" t="s">
        <v>130</v>
      </c>
      <c r="O17" s="39" t="s">
        <v>121</v>
      </c>
      <c r="P17" s="39">
        <v>8000</v>
      </c>
      <c r="Q17" s="39">
        <v>400</v>
      </c>
      <c r="R17" s="39">
        <v>900</v>
      </c>
      <c r="S17" s="39"/>
    </row>
    <row r="18" spans="1:19" ht="34.950000000000003" customHeight="1" x14ac:dyDescent="0.3">
      <c r="A18" s="39"/>
      <c r="B18" s="39" t="s">
        <v>70</v>
      </c>
      <c r="C18" s="36" t="s">
        <v>117</v>
      </c>
      <c r="D18" s="39" t="s">
        <v>91</v>
      </c>
      <c r="E18" s="39" t="s">
        <v>92</v>
      </c>
      <c r="F18" s="39" t="s">
        <v>95</v>
      </c>
      <c r="G18" s="39">
        <v>8237002632</v>
      </c>
      <c r="H18" s="36" t="s">
        <v>123</v>
      </c>
      <c r="I18" s="39">
        <v>3310734769</v>
      </c>
      <c r="J18" s="39" t="s">
        <v>94</v>
      </c>
      <c r="K18" s="39" t="s">
        <v>113</v>
      </c>
      <c r="L18" s="39" t="s">
        <v>96</v>
      </c>
      <c r="M18" s="39" t="s">
        <v>97</v>
      </c>
      <c r="N18" s="37" t="s">
        <v>130</v>
      </c>
      <c r="O18" s="39" t="s">
        <v>121</v>
      </c>
      <c r="P18" s="39">
        <v>8000</v>
      </c>
      <c r="Q18" s="39">
        <v>400</v>
      </c>
      <c r="R18" s="39">
        <v>900</v>
      </c>
      <c r="S18" s="39"/>
    </row>
    <row r="19" spans="1:19" ht="34.950000000000003" customHeight="1" x14ac:dyDescent="0.3">
      <c r="A19" s="39"/>
      <c r="B19" s="39" t="s">
        <v>70</v>
      </c>
      <c r="C19" s="36" t="s">
        <v>118</v>
      </c>
      <c r="D19" s="39" t="s">
        <v>91</v>
      </c>
      <c r="E19" s="39" t="s">
        <v>92</v>
      </c>
      <c r="F19" s="39" t="s">
        <v>95</v>
      </c>
      <c r="G19" s="39">
        <v>8237002632</v>
      </c>
      <c r="H19" s="36" t="s">
        <v>124</v>
      </c>
      <c r="I19" s="39">
        <v>3310734851</v>
      </c>
      <c r="J19" s="39" t="s">
        <v>94</v>
      </c>
      <c r="K19" s="39" t="s">
        <v>113</v>
      </c>
      <c r="L19" s="39" t="s">
        <v>96</v>
      </c>
      <c r="M19" s="39" t="s">
        <v>97</v>
      </c>
      <c r="N19" s="37" t="s">
        <v>130</v>
      </c>
      <c r="O19" s="39" t="s">
        <v>121</v>
      </c>
      <c r="P19" s="39">
        <v>8000</v>
      </c>
      <c r="Q19" s="39">
        <v>400</v>
      </c>
      <c r="R19" s="39">
        <v>900</v>
      </c>
      <c r="S19" s="39"/>
    </row>
    <row r="20" spans="1:19" ht="34.950000000000003" customHeight="1" x14ac:dyDescent="0.3">
      <c r="A20" s="39"/>
      <c r="B20" s="39" t="s">
        <v>70</v>
      </c>
      <c r="C20" s="36" t="s">
        <v>119</v>
      </c>
      <c r="D20" s="39" t="s">
        <v>91</v>
      </c>
      <c r="E20" s="39" t="s">
        <v>92</v>
      </c>
      <c r="F20" s="39" t="s">
        <v>95</v>
      </c>
      <c r="G20" s="39">
        <v>8237002632</v>
      </c>
      <c r="H20" s="36" t="s">
        <v>125</v>
      </c>
      <c r="I20" s="39">
        <v>3310714921</v>
      </c>
      <c r="J20" s="39" t="s">
        <v>94</v>
      </c>
      <c r="K20" s="39" t="s">
        <v>113</v>
      </c>
      <c r="L20" s="39" t="s">
        <v>96</v>
      </c>
      <c r="M20" s="39" t="s">
        <v>97</v>
      </c>
      <c r="N20" s="37" t="s">
        <v>130</v>
      </c>
      <c r="O20" s="39" t="s">
        <v>121</v>
      </c>
      <c r="P20" s="39">
        <v>8000</v>
      </c>
      <c r="Q20" s="39">
        <v>400</v>
      </c>
      <c r="R20" s="39">
        <v>900</v>
      </c>
      <c r="S20" s="39"/>
    </row>
    <row r="21" spans="1:19" ht="34.950000000000003" customHeight="1" x14ac:dyDescent="0.3">
      <c r="A21" s="39"/>
      <c r="B21" s="39" t="s">
        <v>70</v>
      </c>
      <c r="C21" s="36" t="s">
        <v>120</v>
      </c>
      <c r="D21" s="39" t="s">
        <v>91</v>
      </c>
      <c r="E21" s="39" t="s">
        <v>92</v>
      </c>
      <c r="F21" s="39" t="s">
        <v>95</v>
      </c>
      <c r="G21" s="39">
        <v>8237002632</v>
      </c>
      <c r="H21" s="36" t="s">
        <v>126</v>
      </c>
      <c r="I21" s="39">
        <v>3310734325</v>
      </c>
      <c r="J21" s="39" t="s">
        <v>94</v>
      </c>
      <c r="K21" s="39" t="s">
        <v>113</v>
      </c>
      <c r="L21" s="39" t="s">
        <v>96</v>
      </c>
      <c r="M21" s="39" t="s">
        <v>97</v>
      </c>
      <c r="N21" s="37" t="s">
        <v>130</v>
      </c>
      <c r="O21" s="39" t="s">
        <v>121</v>
      </c>
      <c r="P21" s="39">
        <v>8000</v>
      </c>
      <c r="Q21" s="39">
        <v>400</v>
      </c>
      <c r="R21" s="39">
        <v>900</v>
      </c>
      <c r="S21" s="39"/>
    </row>
    <row r="22" spans="1:19" ht="34.950000000000003" customHeight="1" x14ac:dyDescent="0.3">
      <c r="A22" s="39"/>
      <c r="B22" s="39" t="s">
        <v>66</v>
      </c>
      <c r="C22" s="30" t="s">
        <v>127</v>
      </c>
      <c r="D22" s="39" t="s">
        <v>91</v>
      </c>
      <c r="E22" s="39" t="s">
        <v>92</v>
      </c>
      <c r="F22" s="39" t="s">
        <v>95</v>
      </c>
      <c r="G22" s="39">
        <v>8237002632</v>
      </c>
      <c r="H22" s="25">
        <v>100373773368</v>
      </c>
      <c r="I22" s="39" t="s">
        <v>90</v>
      </c>
      <c r="J22" s="39" t="s">
        <v>94</v>
      </c>
      <c r="K22" s="39" t="s">
        <v>113</v>
      </c>
      <c r="L22" s="39" t="s">
        <v>96</v>
      </c>
      <c r="M22" s="39" t="s">
        <v>97</v>
      </c>
      <c r="N22" s="31" t="s">
        <v>131</v>
      </c>
      <c r="O22" s="39" t="s">
        <v>89</v>
      </c>
      <c r="P22" s="39">
        <v>15000</v>
      </c>
      <c r="Q22" s="39">
        <v>6000</v>
      </c>
      <c r="R22" s="39">
        <v>4000</v>
      </c>
      <c r="S22" s="39"/>
    </row>
    <row r="23" spans="1:19" ht="34.950000000000003" customHeight="1" x14ac:dyDescent="0.3">
      <c r="A23" s="39"/>
      <c r="B23" s="39" t="s">
        <v>66</v>
      </c>
      <c r="C23" s="30" t="s">
        <v>128</v>
      </c>
      <c r="D23" s="39" t="s">
        <v>91</v>
      </c>
      <c r="E23" s="39" t="s">
        <v>92</v>
      </c>
      <c r="F23" s="39" t="s">
        <v>95</v>
      </c>
      <c r="G23" s="39">
        <v>8237002632</v>
      </c>
      <c r="H23" s="25">
        <v>100199196774</v>
      </c>
      <c r="I23" s="39" t="s">
        <v>90</v>
      </c>
      <c r="J23" s="39" t="s">
        <v>94</v>
      </c>
      <c r="K23" s="39" t="s">
        <v>113</v>
      </c>
      <c r="L23" s="39" t="s">
        <v>96</v>
      </c>
      <c r="M23" s="39" t="s">
        <v>97</v>
      </c>
      <c r="N23" s="31" t="s">
        <v>131</v>
      </c>
      <c r="O23" s="39" t="s">
        <v>89</v>
      </c>
      <c r="P23" s="39">
        <v>15000</v>
      </c>
      <c r="Q23" s="39">
        <v>6000</v>
      </c>
      <c r="R23" s="39">
        <v>4000</v>
      </c>
      <c r="S23" s="39"/>
    </row>
    <row r="24" spans="1:19" ht="34.950000000000003" customHeight="1" x14ac:dyDescent="0.3">
      <c r="A24" s="39"/>
      <c r="B24" s="39" t="s">
        <v>66</v>
      </c>
      <c r="C24" s="30" t="s">
        <v>129</v>
      </c>
      <c r="D24" s="39" t="s">
        <v>91</v>
      </c>
      <c r="E24" s="39" t="s">
        <v>92</v>
      </c>
      <c r="F24" s="39" t="s">
        <v>95</v>
      </c>
      <c r="G24" s="39">
        <v>8237002632</v>
      </c>
      <c r="H24" s="25">
        <v>100610400894</v>
      </c>
      <c r="I24" s="39" t="s">
        <v>90</v>
      </c>
      <c r="J24" s="39" t="s">
        <v>94</v>
      </c>
      <c r="K24" s="39" t="s">
        <v>113</v>
      </c>
      <c r="L24" s="39" t="s">
        <v>96</v>
      </c>
      <c r="M24" s="39" t="s">
        <v>97</v>
      </c>
      <c r="N24" s="31" t="s">
        <v>131</v>
      </c>
      <c r="O24" s="39" t="s">
        <v>89</v>
      </c>
      <c r="P24" s="39">
        <v>15000</v>
      </c>
      <c r="Q24" s="39">
        <v>6000</v>
      </c>
      <c r="R24" s="39">
        <v>4000</v>
      </c>
      <c r="S24" s="39"/>
    </row>
    <row r="25" spans="1:19" ht="34.950000000000003" customHeight="1" x14ac:dyDescent="0.3">
      <c r="A25" s="39"/>
      <c r="B25" s="39" t="s">
        <v>66</v>
      </c>
      <c r="C25" s="41" t="s">
        <v>132</v>
      </c>
      <c r="D25" s="39" t="s">
        <v>91</v>
      </c>
      <c r="E25" s="39" t="s">
        <v>92</v>
      </c>
      <c r="F25" s="39" t="s">
        <v>95</v>
      </c>
      <c r="G25" s="39">
        <v>8237002632</v>
      </c>
      <c r="H25" s="41" t="s">
        <v>153</v>
      </c>
      <c r="I25" s="39" t="s">
        <v>90</v>
      </c>
      <c r="J25" s="39" t="s">
        <v>94</v>
      </c>
      <c r="K25" s="39" t="s">
        <v>113</v>
      </c>
      <c r="L25" s="39" t="s">
        <v>96</v>
      </c>
      <c r="M25" s="39" t="s">
        <v>97</v>
      </c>
      <c r="N25" s="31" t="s">
        <v>135</v>
      </c>
      <c r="O25" s="39" t="s">
        <v>89</v>
      </c>
      <c r="P25" s="39">
        <v>15000</v>
      </c>
      <c r="Q25" s="39">
        <v>6000</v>
      </c>
      <c r="R25" s="39">
        <v>4000</v>
      </c>
      <c r="S25" s="39"/>
    </row>
    <row r="26" spans="1:19" ht="34.950000000000003" customHeight="1" x14ac:dyDescent="0.3">
      <c r="A26" s="39"/>
      <c r="B26" s="39" t="s">
        <v>66</v>
      </c>
      <c r="C26" s="32" t="s">
        <v>133</v>
      </c>
      <c r="D26" s="39" t="s">
        <v>91</v>
      </c>
      <c r="E26" s="39" t="s">
        <v>92</v>
      </c>
      <c r="F26" s="39" t="s">
        <v>95</v>
      </c>
      <c r="G26" s="39">
        <v>8237002632</v>
      </c>
      <c r="H26" s="25">
        <v>101411361186</v>
      </c>
      <c r="I26" s="39" t="s">
        <v>90</v>
      </c>
      <c r="J26" s="39" t="s">
        <v>94</v>
      </c>
      <c r="K26" s="39" t="s">
        <v>113</v>
      </c>
      <c r="L26" s="39" t="s">
        <v>96</v>
      </c>
      <c r="M26" s="39" t="s">
        <v>97</v>
      </c>
      <c r="N26" s="31" t="s">
        <v>136</v>
      </c>
      <c r="O26" s="39" t="s">
        <v>89</v>
      </c>
      <c r="P26" s="39">
        <v>15000</v>
      </c>
      <c r="Q26" s="39">
        <v>6000</v>
      </c>
      <c r="R26" s="39">
        <v>4000</v>
      </c>
      <c r="S26" s="39"/>
    </row>
    <row r="27" spans="1:19" ht="34.950000000000003" customHeight="1" x14ac:dyDescent="0.3">
      <c r="A27" s="39"/>
      <c r="B27" s="39" t="s">
        <v>66</v>
      </c>
      <c r="C27" s="30" t="s">
        <v>134</v>
      </c>
      <c r="D27" s="39" t="s">
        <v>91</v>
      </c>
      <c r="E27" s="39" t="s">
        <v>92</v>
      </c>
      <c r="F27" s="39" t="s">
        <v>95</v>
      </c>
      <c r="G27" s="39">
        <v>8237002632</v>
      </c>
      <c r="H27" s="25">
        <v>100279819082</v>
      </c>
      <c r="I27" s="39" t="s">
        <v>90</v>
      </c>
      <c r="J27" s="39" t="s">
        <v>94</v>
      </c>
      <c r="K27" s="39" t="s">
        <v>113</v>
      </c>
      <c r="L27" s="39" t="s">
        <v>96</v>
      </c>
      <c r="M27" s="39" t="s">
        <v>97</v>
      </c>
      <c r="N27" s="31" t="s">
        <v>135</v>
      </c>
      <c r="O27" s="39" t="s">
        <v>89</v>
      </c>
      <c r="P27" s="39">
        <v>15000</v>
      </c>
      <c r="Q27" s="39">
        <v>6000</v>
      </c>
      <c r="R27" s="39">
        <v>4000</v>
      </c>
      <c r="S27" s="39"/>
    </row>
    <row r="28" spans="1:19" ht="34.950000000000003" customHeight="1" x14ac:dyDescent="0.3">
      <c r="A28" s="39"/>
      <c r="B28" s="39" t="s">
        <v>66</v>
      </c>
      <c r="C28" s="30" t="s">
        <v>137</v>
      </c>
      <c r="D28" s="39" t="s">
        <v>91</v>
      </c>
      <c r="E28" s="39" t="s">
        <v>92</v>
      </c>
      <c r="F28" s="39" t="s">
        <v>95</v>
      </c>
      <c r="G28" s="39">
        <v>8237002632</v>
      </c>
      <c r="H28" s="25">
        <v>100136216502</v>
      </c>
      <c r="I28" s="39" t="s">
        <v>90</v>
      </c>
      <c r="J28" s="39" t="s">
        <v>94</v>
      </c>
      <c r="K28" s="39" t="s">
        <v>113</v>
      </c>
      <c r="L28" s="39" t="s">
        <v>96</v>
      </c>
      <c r="M28" s="39" t="s">
        <v>97</v>
      </c>
      <c r="N28" s="31" t="s">
        <v>140</v>
      </c>
      <c r="O28" s="39" t="s">
        <v>89</v>
      </c>
      <c r="P28" s="39">
        <v>15000</v>
      </c>
      <c r="Q28" s="39">
        <v>6000</v>
      </c>
      <c r="R28" s="39">
        <v>4000</v>
      </c>
      <c r="S28" s="39"/>
    </row>
    <row r="29" spans="1:19" ht="34.950000000000003" customHeight="1" x14ac:dyDescent="0.3">
      <c r="A29" s="39"/>
      <c r="B29" s="39" t="s">
        <v>66</v>
      </c>
      <c r="C29" s="30" t="s">
        <v>138</v>
      </c>
      <c r="D29" s="39" t="s">
        <v>91</v>
      </c>
      <c r="E29" s="39" t="s">
        <v>92</v>
      </c>
      <c r="F29" s="39" t="s">
        <v>95</v>
      </c>
      <c r="G29" s="39">
        <v>8237002632</v>
      </c>
      <c r="H29" s="25">
        <v>100093878597</v>
      </c>
      <c r="I29" s="39" t="s">
        <v>90</v>
      </c>
      <c r="J29" s="39" t="s">
        <v>94</v>
      </c>
      <c r="K29" s="39" t="s">
        <v>113</v>
      </c>
      <c r="L29" s="39" t="s">
        <v>96</v>
      </c>
      <c r="M29" s="39" t="s">
        <v>97</v>
      </c>
      <c r="N29" s="31" t="s">
        <v>140</v>
      </c>
      <c r="O29" s="39" t="s">
        <v>89</v>
      </c>
      <c r="P29" s="39">
        <v>15000</v>
      </c>
      <c r="Q29" s="39">
        <v>6000</v>
      </c>
      <c r="R29" s="39">
        <v>4000</v>
      </c>
      <c r="S29" s="39"/>
    </row>
    <row r="30" spans="1:19" ht="34.950000000000003" customHeight="1" x14ac:dyDescent="0.3">
      <c r="A30" s="39"/>
      <c r="B30" s="39" t="s">
        <v>66</v>
      </c>
      <c r="C30" s="30" t="s">
        <v>139</v>
      </c>
      <c r="D30" s="39" t="s">
        <v>91</v>
      </c>
      <c r="E30" s="39" t="s">
        <v>92</v>
      </c>
      <c r="F30" s="39" t="s">
        <v>95</v>
      </c>
      <c r="G30" s="39">
        <v>8237002632</v>
      </c>
      <c r="H30" s="25">
        <v>100250941439</v>
      </c>
      <c r="I30" s="39" t="s">
        <v>90</v>
      </c>
      <c r="J30" s="39" t="s">
        <v>94</v>
      </c>
      <c r="K30" s="39" t="s">
        <v>113</v>
      </c>
      <c r="L30" s="39" t="s">
        <v>96</v>
      </c>
      <c r="M30" s="39" t="s">
        <v>97</v>
      </c>
      <c r="N30" s="31" t="s">
        <v>140</v>
      </c>
      <c r="O30" s="39" t="s">
        <v>89</v>
      </c>
      <c r="P30" s="39">
        <v>15000</v>
      </c>
      <c r="Q30" s="39">
        <v>6000</v>
      </c>
      <c r="R30" s="39">
        <v>4000</v>
      </c>
      <c r="S30" s="39"/>
    </row>
    <row r="31" spans="1:19" ht="34.950000000000003" customHeight="1" x14ac:dyDescent="0.3">
      <c r="A31" s="39"/>
      <c r="B31" s="39" t="s">
        <v>66</v>
      </c>
      <c r="C31" s="30" t="s">
        <v>141</v>
      </c>
      <c r="D31" s="39" t="s">
        <v>91</v>
      </c>
      <c r="E31" s="39" t="s">
        <v>92</v>
      </c>
      <c r="F31" s="39" t="s">
        <v>95</v>
      </c>
      <c r="G31" s="39">
        <v>8237002632</v>
      </c>
      <c r="H31" s="25">
        <v>100409569308</v>
      </c>
      <c r="I31" s="39" t="s">
        <v>90</v>
      </c>
      <c r="J31" s="39" t="s">
        <v>94</v>
      </c>
      <c r="K31" s="39" t="s">
        <v>113</v>
      </c>
      <c r="L31" s="39" t="s">
        <v>96</v>
      </c>
      <c r="M31" s="39" t="s">
        <v>97</v>
      </c>
      <c r="N31" s="31" t="s">
        <v>144</v>
      </c>
      <c r="O31" s="39" t="s">
        <v>89</v>
      </c>
      <c r="P31" s="39">
        <v>15000</v>
      </c>
      <c r="Q31" s="39">
        <v>6000</v>
      </c>
      <c r="R31" s="39">
        <v>4000</v>
      </c>
      <c r="S31" s="39"/>
    </row>
    <row r="32" spans="1:19" ht="34.950000000000003" customHeight="1" x14ac:dyDescent="0.3">
      <c r="A32" s="39"/>
      <c r="B32" s="39" t="s">
        <v>66</v>
      </c>
      <c r="C32" s="30" t="s">
        <v>142</v>
      </c>
      <c r="D32" s="39" t="s">
        <v>91</v>
      </c>
      <c r="E32" s="39" t="s">
        <v>92</v>
      </c>
      <c r="F32" s="39" t="s">
        <v>95</v>
      </c>
      <c r="G32" s="39">
        <v>8237002632</v>
      </c>
      <c r="H32" s="33">
        <v>100081333112</v>
      </c>
      <c r="I32" s="39" t="s">
        <v>90</v>
      </c>
      <c r="J32" s="39" t="s">
        <v>94</v>
      </c>
      <c r="K32" s="39" t="s">
        <v>113</v>
      </c>
      <c r="L32" s="39" t="s">
        <v>96</v>
      </c>
      <c r="M32" s="39" t="s">
        <v>97</v>
      </c>
      <c r="N32" s="31" t="s">
        <v>144</v>
      </c>
      <c r="O32" s="39" t="s">
        <v>89</v>
      </c>
      <c r="P32" s="39">
        <v>15000</v>
      </c>
      <c r="Q32" s="39">
        <v>6000</v>
      </c>
      <c r="R32" s="39">
        <v>4000</v>
      </c>
      <c r="S32" s="39"/>
    </row>
    <row r="33" spans="1:19" ht="34.950000000000003" customHeight="1" x14ac:dyDescent="0.3">
      <c r="A33" s="39"/>
      <c r="B33" s="39" t="s">
        <v>66</v>
      </c>
      <c r="C33" s="30" t="s">
        <v>143</v>
      </c>
      <c r="D33" s="39" t="s">
        <v>91</v>
      </c>
      <c r="E33" s="39" t="s">
        <v>92</v>
      </c>
      <c r="F33" s="39" t="s">
        <v>95</v>
      </c>
      <c r="G33" s="39">
        <v>8237002632</v>
      </c>
      <c r="H33" s="25">
        <v>100611087408</v>
      </c>
      <c r="I33" s="39" t="s">
        <v>90</v>
      </c>
      <c r="J33" s="39" t="s">
        <v>94</v>
      </c>
      <c r="K33" s="39" t="s">
        <v>113</v>
      </c>
      <c r="L33" s="39" t="s">
        <v>96</v>
      </c>
      <c r="M33" s="39" t="s">
        <v>97</v>
      </c>
      <c r="N33" s="31" t="s">
        <v>144</v>
      </c>
      <c r="O33" s="39" t="s">
        <v>89</v>
      </c>
      <c r="P33" s="39">
        <v>15000</v>
      </c>
      <c r="Q33" s="39">
        <v>6000</v>
      </c>
      <c r="R33" s="39">
        <v>4000</v>
      </c>
      <c r="S33" s="39"/>
    </row>
    <row r="34" spans="1:19" ht="34.950000000000003" customHeight="1" x14ac:dyDescent="0.3">
      <c r="A34" s="39"/>
      <c r="B34" s="39" t="s">
        <v>66</v>
      </c>
      <c r="C34" s="30" t="s">
        <v>145</v>
      </c>
      <c r="D34" s="39" t="s">
        <v>91</v>
      </c>
      <c r="E34" s="39" t="s">
        <v>92</v>
      </c>
      <c r="F34" s="39" t="s">
        <v>95</v>
      </c>
      <c r="G34" s="39">
        <v>8237002632</v>
      </c>
      <c r="H34" s="25">
        <v>100315587036</v>
      </c>
      <c r="I34" s="39" t="s">
        <v>90</v>
      </c>
      <c r="J34" s="39" t="s">
        <v>94</v>
      </c>
      <c r="K34" s="39" t="s">
        <v>113</v>
      </c>
      <c r="L34" s="39" t="s">
        <v>96</v>
      </c>
      <c r="M34" s="39" t="s">
        <v>97</v>
      </c>
      <c r="N34" s="31" t="s">
        <v>148</v>
      </c>
      <c r="O34" s="39" t="s">
        <v>89</v>
      </c>
      <c r="P34" s="39">
        <v>15000</v>
      </c>
      <c r="Q34" s="39">
        <v>6000</v>
      </c>
      <c r="R34" s="39">
        <v>4000</v>
      </c>
      <c r="S34" s="39"/>
    </row>
    <row r="35" spans="1:19" ht="34.950000000000003" customHeight="1" x14ac:dyDescent="0.3">
      <c r="A35" s="39"/>
      <c r="B35" s="39" t="s">
        <v>66</v>
      </c>
      <c r="C35" s="30" t="s">
        <v>146</v>
      </c>
      <c r="D35" s="39" t="s">
        <v>91</v>
      </c>
      <c r="E35" s="39" t="s">
        <v>92</v>
      </c>
      <c r="F35" s="39" t="s">
        <v>95</v>
      </c>
      <c r="G35" s="39">
        <v>8237002632</v>
      </c>
      <c r="H35" s="25">
        <v>100111064632</v>
      </c>
      <c r="I35" s="39" t="s">
        <v>90</v>
      </c>
      <c r="J35" s="39" t="s">
        <v>94</v>
      </c>
      <c r="K35" s="39" t="s">
        <v>113</v>
      </c>
      <c r="L35" s="39" t="s">
        <v>96</v>
      </c>
      <c r="M35" s="39" t="s">
        <v>97</v>
      </c>
      <c r="N35" s="31" t="s">
        <v>148</v>
      </c>
      <c r="O35" s="39" t="s">
        <v>89</v>
      </c>
      <c r="P35" s="39">
        <v>15000</v>
      </c>
      <c r="Q35" s="39">
        <v>6000</v>
      </c>
      <c r="R35" s="39">
        <v>4000</v>
      </c>
      <c r="S35" s="39"/>
    </row>
    <row r="36" spans="1:19" ht="34.950000000000003" customHeight="1" x14ac:dyDescent="0.3">
      <c r="A36" s="39"/>
      <c r="B36" s="39" t="s">
        <v>66</v>
      </c>
      <c r="C36" s="32" t="s">
        <v>147</v>
      </c>
      <c r="D36" s="39" t="s">
        <v>91</v>
      </c>
      <c r="E36" s="39" t="s">
        <v>92</v>
      </c>
      <c r="F36" s="39" t="s">
        <v>95</v>
      </c>
      <c r="G36" s="39">
        <v>8237002632</v>
      </c>
      <c r="H36" s="25">
        <v>101506981123</v>
      </c>
      <c r="I36" s="39" t="s">
        <v>90</v>
      </c>
      <c r="J36" s="39" t="s">
        <v>94</v>
      </c>
      <c r="K36" s="39" t="s">
        <v>113</v>
      </c>
      <c r="L36" s="39" t="s">
        <v>96</v>
      </c>
      <c r="M36" s="39" t="s">
        <v>97</v>
      </c>
      <c r="N36" s="31" t="s">
        <v>148</v>
      </c>
      <c r="O36" s="39" t="s">
        <v>89</v>
      </c>
      <c r="P36" s="39">
        <v>15000</v>
      </c>
      <c r="Q36" s="39">
        <v>6000</v>
      </c>
      <c r="R36" s="39">
        <v>4000</v>
      </c>
      <c r="S36" s="39"/>
    </row>
    <row r="37" spans="1:19" ht="34.950000000000003" customHeight="1" x14ac:dyDescent="0.3">
      <c r="A37" s="39"/>
      <c r="B37" s="39" t="s">
        <v>66</v>
      </c>
      <c r="C37" s="30" t="s">
        <v>149</v>
      </c>
      <c r="D37" s="39" t="s">
        <v>91</v>
      </c>
      <c r="E37" s="39" t="s">
        <v>92</v>
      </c>
      <c r="F37" s="39" t="s">
        <v>95</v>
      </c>
      <c r="G37" s="39">
        <v>8237002632</v>
      </c>
      <c r="H37" s="25">
        <v>100335519709</v>
      </c>
      <c r="I37" s="39" t="s">
        <v>90</v>
      </c>
      <c r="J37" s="39" t="s">
        <v>94</v>
      </c>
      <c r="K37" s="39" t="s">
        <v>113</v>
      </c>
      <c r="L37" s="39" t="s">
        <v>96</v>
      </c>
      <c r="M37" s="39" t="s">
        <v>97</v>
      </c>
      <c r="N37" s="31" t="s">
        <v>152</v>
      </c>
      <c r="O37" s="39" t="s">
        <v>89</v>
      </c>
      <c r="P37" s="39">
        <v>15000</v>
      </c>
      <c r="Q37" s="39">
        <v>6000</v>
      </c>
      <c r="R37" s="39">
        <v>4000</v>
      </c>
      <c r="S37" s="39"/>
    </row>
    <row r="38" spans="1:19" ht="34.950000000000003" customHeight="1" x14ac:dyDescent="0.3">
      <c r="A38" s="39"/>
      <c r="B38" s="39" t="s">
        <v>66</v>
      </c>
      <c r="C38" s="41" t="s">
        <v>150</v>
      </c>
      <c r="D38" s="39" t="s">
        <v>91</v>
      </c>
      <c r="E38" s="39" t="s">
        <v>92</v>
      </c>
      <c r="F38" s="39" t="s">
        <v>95</v>
      </c>
      <c r="G38" s="39">
        <v>8237002632</v>
      </c>
      <c r="H38" s="41" t="s">
        <v>29</v>
      </c>
      <c r="I38" s="39" t="s">
        <v>90</v>
      </c>
      <c r="J38" s="39" t="s">
        <v>94</v>
      </c>
      <c r="K38" s="39" t="s">
        <v>113</v>
      </c>
      <c r="L38" s="39" t="s">
        <v>96</v>
      </c>
      <c r="M38" s="39" t="s">
        <v>97</v>
      </c>
      <c r="N38" s="31" t="s">
        <v>28</v>
      </c>
      <c r="O38" s="39" t="s">
        <v>89</v>
      </c>
      <c r="P38" s="39">
        <v>15000</v>
      </c>
      <c r="Q38" s="39">
        <v>6000</v>
      </c>
      <c r="R38" s="39">
        <v>4000</v>
      </c>
      <c r="S38" s="39"/>
    </row>
    <row r="39" spans="1:19" ht="34.950000000000003" customHeight="1" x14ac:dyDescent="0.3">
      <c r="A39" s="39"/>
      <c r="B39" s="39" t="s">
        <v>66</v>
      </c>
      <c r="C39" s="41" t="s">
        <v>151</v>
      </c>
      <c r="D39" s="39" t="s">
        <v>91</v>
      </c>
      <c r="E39" s="39" t="s">
        <v>92</v>
      </c>
      <c r="F39" s="39" t="s">
        <v>95</v>
      </c>
      <c r="G39" s="39">
        <v>8237002632</v>
      </c>
      <c r="H39" s="41" t="s">
        <v>154</v>
      </c>
      <c r="I39" s="39" t="s">
        <v>90</v>
      </c>
      <c r="J39" s="39" t="s">
        <v>94</v>
      </c>
      <c r="K39" s="39" t="s">
        <v>113</v>
      </c>
      <c r="L39" s="39" t="s">
        <v>96</v>
      </c>
      <c r="M39" s="39" t="s">
        <v>97</v>
      </c>
      <c r="N39" s="31" t="s">
        <v>27</v>
      </c>
      <c r="O39" s="39" t="s">
        <v>89</v>
      </c>
      <c r="P39" s="39">
        <v>15000</v>
      </c>
      <c r="Q39" s="39">
        <v>6000</v>
      </c>
      <c r="R39" s="39">
        <v>4000</v>
      </c>
      <c r="S39" s="39"/>
    </row>
    <row r="40" spans="1:19" ht="34.950000000000003" customHeight="1" x14ac:dyDescent="0.3">
      <c r="A40" s="39"/>
      <c r="B40" s="39" t="s">
        <v>68</v>
      </c>
      <c r="C40" s="36" t="s">
        <v>155</v>
      </c>
      <c r="D40" s="39" t="s">
        <v>91</v>
      </c>
      <c r="E40" s="39" t="s">
        <v>92</v>
      </c>
      <c r="F40" s="39" t="s">
        <v>95</v>
      </c>
      <c r="G40" s="39">
        <v>8237002632</v>
      </c>
      <c r="H40" s="39" t="s">
        <v>157</v>
      </c>
      <c r="I40" s="39">
        <v>3415696059</v>
      </c>
      <c r="J40" s="39" t="s">
        <v>94</v>
      </c>
      <c r="K40" s="39" t="s">
        <v>113</v>
      </c>
      <c r="L40" s="39" t="s">
        <v>96</v>
      </c>
      <c r="M40" s="39" t="s">
        <v>97</v>
      </c>
      <c r="N40" s="38" t="s">
        <v>159</v>
      </c>
      <c r="O40" s="39" t="s">
        <v>89</v>
      </c>
      <c r="P40" s="39">
        <v>12000</v>
      </c>
      <c r="Q40" s="39">
        <v>4800</v>
      </c>
      <c r="R40" s="39">
        <v>3200</v>
      </c>
      <c r="S40" s="39"/>
    </row>
    <row r="41" spans="1:19" ht="34.950000000000003" customHeight="1" x14ac:dyDescent="0.3">
      <c r="A41" s="39"/>
      <c r="B41" s="39" t="s">
        <v>68</v>
      </c>
      <c r="C41" s="37" t="s">
        <v>156</v>
      </c>
      <c r="D41" s="39" t="s">
        <v>91</v>
      </c>
      <c r="E41" s="39" t="s">
        <v>92</v>
      </c>
      <c r="F41" s="39" t="s">
        <v>95</v>
      </c>
      <c r="G41" s="39">
        <v>8237002632</v>
      </c>
      <c r="H41" s="39" t="s">
        <v>158</v>
      </c>
      <c r="I41" s="39">
        <v>3415651062</v>
      </c>
      <c r="J41" s="39" t="s">
        <v>94</v>
      </c>
      <c r="K41" s="39" t="s">
        <v>113</v>
      </c>
      <c r="L41" s="39" t="s">
        <v>96</v>
      </c>
      <c r="M41" s="39" t="s">
        <v>97</v>
      </c>
      <c r="N41" s="38" t="s">
        <v>160</v>
      </c>
      <c r="O41" s="39" t="s">
        <v>89</v>
      </c>
      <c r="P41" s="39">
        <v>12000</v>
      </c>
      <c r="Q41" s="39">
        <v>4800</v>
      </c>
      <c r="R41" s="39">
        <v>3200</v>
      </c>
      <c r="S41" s="39"/>
    </row>
    <row r="42" spans="1:19" ht="34.950000000000003" customHeight="1" x14ac:dyDescent="0.3">
      <c r="A42" s="39"/>
      <c r="B42" s="39" t="s">
        <v>68</v>
      </c>
      <c r="C42" s="37" t="s">
        <v>161</v>
      </c>
      <c r="D42" s="39" t="s">
        <v>91</v>
      </c>
      <c r="E42" s="39" t="s">
        <v>92</v>
      </c>
      <c r="F42" s="39" t="s">
        <v>95</v>
      </c>
      <c r="G42" s="39">
        <v>8237002632</v>
      </c>
      <c r="H42" s="39" t="s">
        <v>163</v>
      </c>
      <c r="I42" s="39">
        <v>2303507101</v>
      </c>
      <c r="J42" s="39" t="s">
        <v>94</v>
      </c>
      <c r="K42" s="39" t="s">
        <v>113</v>
      </c>
      <c r="L42" s="39" t="s">
        <v>96</v>
      </c>
      <c r="M42" s="39" t="s">
        <v>97</v>
      </c>
      <c r="N42" s="38" t="s">
        <v>165</v>
      </c>
      <c r="O42" s="39" t="s">
        <v>166</v>
      </c>
      <c r="P42" s="39">
        <v>11000</v>
      </c>
      <c r="Q42" s="39">
        <v>4000</v>
      </c>
      <c r="R42" s="39">
        <v>2600</v>
      </c>
      <c r="S42" s="39"/>
    </row>
    <row r="43" spans="1:19" ht="34.950000000000003" customHeight="1" x14ac:dyDescent="0.3">
      <c r="A43" s="39"/>
      <c r="B43" s="39" t="s">
        <v>68</v>
      </c>
      <c r="C43" s="36" t="s">
        <v>162</v>
      </c>
      <c r="D43" s="39" t="s">
        <v>91</v>
      </c>
      <c r="E43" s="39" t="s">
        <v>92</v>
      </c>
      <c r="F43" s="39" t="s">
        <v>95</v>
      </c>
      <c r="G43" s="39">
        <v>8237002632</v>
      </c>
      <c r="H43" s="39" t="s">
        <v>164</v>
      </c>
      <c r="I43" s="39">
        <v>3415709564</v>
      </c>
      <c r="J43" s="39" t="s">
        <v>94</v>
      </c>
      <c r="K43" s="39" t="s">
        <v>113</v>
      </c>
      <c r="L43" s="39" t="s">
        <v>96</v>
      </c>
      <c r="M43" s="39" t="s">
        <v>97</v>
      </c>
      <c r="N43" s="38" t="s">
        <v>27</v>
      </c>
      <c r="O43" s="39" t="s">
        <v>166</v>
      </c>
      <c r="P43" s="39">
        <v>11000</v>
      </c>
      <c r="Q43" s="39">
        <v>4000</v>
      </c>
      <c r="R43" s="39">
        <v>2600</v>
      </c>
      <c r="S43" s="39"/>
    </row>
    <row r="44" spans="1:19" ht="34.950000000000003" customHeight="1" x14ac:dyDescent="0.3">
      <c r="A44" s="39"/>
      <c r="B44" s="39" t="s">
        <v>68</v>
      </c>
      <c r="C44" s="37" t="s">
        <v>167</v>
      </c>
      <c r="D44" s="39" t="s">
        <v>91</v>
      </c>
      <c r="E44" s="39" t="s">
        <v>92</v>
      </c>
      <c r="F44" s="39" t="s">
        <v>95</v>
      </c>
      <c r="G44" s="39">
        <v>8237002632</v>
      </c>
      <c r="H44" s="39" t="s">
        <v>168</v>
      </c>
      <c r="I44" s="39">
        <v>2303507130</v>
      </c>
      <c r="J44" s="39" t="s">
        <v>94</v>
      </c>
      <c r="K44" s="39" t="s">
        <v>113</v>
      </c>
      <c r="L44" s="39" t="s">
        <v>96</v>
      </c>
      <c r="M44" s="39" t="s">
        <v>97</v>
      </c>
      <c r="N44" s="38" t="s">
        <v>169</v>
      </c>
      <c r="O44" s="39" t="s">
        <v>121</v>
      </c>
      <c r="P44" s="39">
        <v>10000</v>
      </c>
      <c r="Q44" s="39">
        <v>4000</v>
      </c>
      <c r="R44" s="39">
        <v>1000</v>
      </c>
      <c r="S44" s="39"/>
    </row>
    <row r="45" spans="1:19" ht="34.950000000000003" customHeight="1" x14ac:dyDescent="0.3">
      <c r="A45" s="39"/>
      <c r="B45" s="39" t="s">
        <v>180</v>
      </c>
      <c r="C45" s="34" t="s">
        <v>170</v>
      </c>
      <c r="D45" s="39" t="s">
        <v>91</v>
      </c>
      <c r="E45" s="39" t="s">
        <v>92</v>
      </c>
      <c r="F45" s="39" t="s">
        <v>95</v>
      </c>
      <c r="G45" s="39">
        <v>8237002632</v>
      </c>
      <c r="H45" s="26">
        <v>100885672914</v>
      </c>
      <c r="I45" s="39">
        <v>3415512769</v>
      </c>
      <c r="J45" s="39" t="s">
        <v>94</v>
      </c>
      <c r="K45" s="39" t="s">
        <v>113</v>
      </c>
      <c r="L45" s="39" t="s">
        <v>96</v>
      </c>
      <c r="M45" s="39" t="s">
        <v>97</v>
      </c>
      <c r="N45" s="38" t="s">
        <v>172</v>
      </c>
      <c r="O45" s="39" t="s">
        <v>89</v>
      </c>
      <c r="P45" s="39">
        <v>14000</v>
      </c>
      <c r="Q45" s="39">
        <v>5600</v>
      </c>
      <c r="R45" s="39">
        <v>2400</v>
      </c>
      <c r="S45" s="39"/>
    </row>
    <row r="46" spans="1:19" ht="34.950000000000003" customHeight="1" x14ac:dyDescent="0.3">
      <c r="A46" s="39"/>
      <c r="B46" s="39" t="s">
        <v>180</v>
      </c>
      <c r="C46" s="34" t="s">
        <v>171</v>
      </c>
      <c r="D46" s="39" t="s">
        <v>91</v>
      </c>
      <c r="E46" s="39" t="s">
        <v>92</v>
      </c>
      <c r="F46" s="39" t="s">
        <v>95</v>
      </c>
      <c r="G46" s="39">
        <v>8237002632</v>
      </c>
      <c r="H46" s="26">
        <v>100337516957</v>
      </c>
      <c r="I46" s="39">
        <v>3415512766</v>
      </c>
      <c r="J46" s="39" t="s">
        <v>94</v>
      </c>
      <c r="K46" s="39" t="s">
        <v>113</v>
      </c>
      <c r="L46" s="39" t="s">
        <v>96</v>
      </c>
      <c r="M46" s="39" t="s">
        <v>97</v>
      </c>
      <c r="N46" s="38" t="s">
        <v>173</v>
      </c>
      <c r="O46" s="39" t="s">
        <v>89</v>
      </c>
      <c r="P46" s="39">
        <v>14000</v>
      </c>
      <c r="Q46" s="39">
        <v>5600</v>
      </c>
      <c r="R46" s="39">
        <v>2400</v>
      </c>
      <c r="S46" s="39"/>
    </row>
    <row r="47" spans="1:19" ht="34.950000000000003" customHeight="1" x14ac:dyDescent="0.3">
      <c r="A47" s="39"/>
      <c r="B47" s="39" t="s">
        <v>180</v>
      </c>
      <c r="C47" s="34" t="s">
        <v>174</v>
      </c>
      <c r="D47" s="39" t="s">
        <v>91</v>
      </c>
      <c r="E47" s="39" t="s">
        <v>92</v>
      </c>
      <c r="F47" s="39" t="s">
        <v>95</v>
      </c>
      <c r="G47" s="39">
        <v>8237002632</v>
      </c>
      <c r="H47" s="26">
        <v>101572637134</v>
      </c>
      <c r="I47" s="39">
        <v>2415512799</v>
      </c>
      <c r="J47" s="39" t="s">
        <v>94</v>
      </c>
      <c r="K47" s="39" t="s">
        <v>113</v>
      </c>
      <c r="L47" s="39" t="s">
        <v>96</v>
      </c>
      <c r="M47" s="39" t="s">
        <v>97</v>
      </c>
      <c r="N47" s="38" t="s">
        <v>177</v>
      </c>
      <c r="O47" s="39" t="s">
        <v>89</v>
      </c>
      <c r="P47" s="39">
        <v>14000</v>
      </c>
      <c r="Q47" s="39">
        <v>5600</v>
      </c>
      <c r="R47" s="39">
        <v>2400</v>
      </c>
      <c r="S47" s="39"/>
    </row>
    <row r="48" spans="1:19" ht="34.950000000000003" customHeight="1" x14ac:dyDescent="0.3">
      <c r="A48" s="39"/>
      <c r="B48" s="39" t="s">
        <v>180</v>
      </c>
      <c r="C48" s="34" t="s">
        <v>175</v>
      </c>
      <c r="D48" s="39" t="s">
        <v>91</v>
      </c>
      <c r="E48" s="39" t="s">
        <v>92</v>
      </c>
      <c r="F48" s="39" t="s">
        <v>95</v>
      </c>
      <c r="G48" s="39">
        <v>8237002632</v>
      </c>
      <c r="H48" s="26">
        <v>100311430869</v>
      </c>
      <c r="I48" s="39">
        <v>3413597614</v>
      </c>
      <c r="J48" s="39" t="s">
        <v>94</v>
      </c>
      <c r="K48" s="39" t="s">
        <v>113</v>
      </c>
      <c r="L48" s="39" t="s">
        <v>96</v>
      </c>
      <c r="M48" s="39" t="s">
        <v>97</v>
      </c>
      <c r="N48" s="38" t="s">
        <v>27</v>
      </c>
      <c r="O48" s="39" t="s">
        <v>89</v>
      </c>
      <c r="P48" s="39">
        <v>14000</v>
      </c>
      <c r="Q48" s="39">
        <v>5600</v>
      </c>
      <c r="R48" s="39">
        <v>2400</v>
      </c>
      <c r="S48" s="39"/>
    </row>
    <row r="49" spans="1:19" ht="34.950000000000003" customHeight="1" x14ac:dyDescent="0.3">
      <c r="A49" s="39"/>
      <c r="B49" s="39" t="s">
        <v>180</v>
      </c>
      <c r="C49" s="34" t="s">
        <v>176</v>
      </c>
      <c r="D49" s="39" t="s">
        <v>91</v>
      </c>
      <c r="E49" s="39" t="s">
        <v>92</v>
      </c>
      <c r="F49" s="39" t="s">
        <v>95</v>
      </c>
      <c r="G49" s="39">
        <v>8237002632</v>
      </c>
      <c r="H49" s="26">
        <v>100174800951</v>
      </c>
      <c r="I49" s="39">
        <v>3413408809</v>
      </c>
      <c r="J49" s="39" t="s">
        <v>94</v>
      </c>
      <c r="K49" s="39" t="s">
        <v>113</v>
      </c>
      <c r="L49" s="39" t="s">
        <v>96</v>
      </c>
      <c r="M49" s="39" t="s">
        <v>97</v>
      </c>
      <c r="N49" s="38" t="s">
        <v>84</v>
      </c>
      <c r="O49" s="39" t="s">
        <v>89</v>
      </c>
      <c r="P49" s="39">
        <v>14000</v>
      </c>
      <c r="Q49" s="39">
        <v>5600</v>
      </c>
      <c r="R49" s="39">
        <v>2400</v>
      </c>
      <c r="S49" s="39"/>
    </row>
    <row r="50" spans="1:19" ht="34.950000000000003" customHeight="1" x14ac:dyDescent="0.3">
      <c r="A50" s="39"/>
      <c r="B50" s="39" t="s">
        <v>180</v>
      </c>
      <c r="C50" s="37" t="s">
        <v>178</v>
      </c>
      <c r="D50" s="39" t="s">
        <v>91</v>
      </c>
      <c r="E50" s="39" t="s">
        <v>92</v>
      </c>
      <c r="F50" s="39" t="s">
        <v>95</v>
      </c>
      <c r="G50" s="39">
        <v>8237002632</v>
      </c>
      <c r="H50" s="38" t="s">
        <v>179</v>
      </c>
      <c r="I50" s="39">
        <v>3413408828</v>
      </c>
      <c r="J50" s="39" t="s">
        <v>94</v>
      </c>
      <c r="K50" s="39" t="s">
        <v>113</v>
      </c>
      <c r="L50" s="39" t="s">
        <v>96</v>
      </c>
      <c r="M50" s="39" t="s">
        <v>97</v>
      </c>
      <c r="N50" s="38" t="s">
        <v>130</v>
      </c>
      <c r="O50" s="39" t="s">
        <v>121</v>
      </c>
      <c r="P50" s="39">
        <v>10000</v>
      </c>
      <c r="Q50" s="39">
        <v>4000</v>
      </c>
      <c r="R50" s="39">
        <v>1000</v>
      </c>
      <c r="S50" s="39"/>
    </row>
    <row r="51" spans="1:19" ht="34.950000000000003" customHeight="1" x14ac:dyDescent="0.3">
      <c r="A51" s="39"/>
      <c r="B51" s="39" t="s">
        <v>202</v>
      </c>
      <c r="C51" s="36" t="s">
        <v>181</v>
      </c>
      <c r="D51" s="39" t="s">
        <v>91</v>
      </c>
      <c r="E51" s="39" t="s">
        <v>92</v>
      </c>
      <c r="F51" s="39" t="s">
        <v>95</v>
      </c>
      <c r="G51" s="39">
        <v>8237002632</v>
      </c>
      <c r="H51" s="39" t="s">
        <v>197</v>
      </c>
      <c r="I51" s="39" t="s">
        <v>90</v>
      </c>
      <c r="J51" s="39" t="s">
        <v>94</v>
      </c>
      <c r="K51" s="39" t="s">
        <v>113</v>
      </c>
      <c r="L51" s="39" t="s">
        <v>96</v>
      </c>
      <c r="M51" s="39" t="s">
        <v>97</v>
      </c>
      <c r="N51" s="38" t="s">
        <v>190</v>
      </c>
      <c r="O51" s="39" t="s">
        <v>89</v>
      </c>
      <c r="P51" s="39">
        <v>13000</v>
      </c>
      <c r="Q51" s="39">
        <v>5200</v>
      </c>
      <c r="R51" s="39">
        <v>1800</v>
      </c>
      <c r="S51" s="39"/>
    </row>
    <row r="52" spans="1:19" ht="34.950000000000003" customHeight="1" x14ac:dyDescent="0.3">
      <c r="A52" s="39"/>
      <c r="B52" s="39" t="s">
        <v>202</v>
      </c>
      <c r="C52" s="36" t="s">
        <v>182</v>
      </c>
      <c r="D52" s="39" t="s">
        <v>91</v>
      </c>
      <c r="E52" s="39" t="s">
        <v>92</v>
      </c>
      <c r="F52" s="39" t="s">
        <v>95</v>
      </c>
      <c r="G52" s="39">
        <v>8237002632</v>
      </c>
      <c r="H52" s="40">
        <v>101705124373</v>
      </c>
      <c r="I52" s="39">
        <v>3415961355</v>
      </c>
      <c r="J52" s="39" t="s">
        <v>94</v>
      </c>
      <c r="K52" s="39" t="s">
        <v>113</v>
      </c>
      <c r="L52" s="39" t="s">
        <v>96</v>
      </c>
      <c r="M52" s="39" t="s">
        <v>97</v>
      </c>
      <c r="N52" s="38" t="s">
        <v>190</v>
      </c>
      <c r="O52" s="39" t="s">
        <v>89</v>
      </c>
      <c r="P52" s="39">
        <v>13000</v>
      </c>
      <c r="Q52" s="39">
        <v>5200</v>
      </c>
      <c r="R52" s="39">
        <v>1800</v>
      </c>
      <c r="S52" s="39"/>
    </row>
    <row r="53" spans="1:19" ht="34.950000000000003" customHeight="1" x14ac:dyDescent="0.3">
      <c r="A53" s="39"/>
      <c r="B53" s="39" t="s">
        <v>202</v>
      </c>
      <c r="C53" s="36" t="s">
        <v>183</v>
      </c>
      <c r="D53" s="39" t="s">
        <v>91</v>
      </c>
      <c r="E53" s="39" t="s">
        <v>92</v>
      </c>
      <c r="F53" s="39" t="s">
        <v>95</v>
      </c>
      <c r="G53" s="39">
        <v>8237002632</v>
      </c>
      <c r="H53" s="39" t="s">
        <v>198</v>
      </c>
      <c r="I53" s="39" t="s">
        <v>90</v>
      </c>
      <c r="J53" s="39" t="s">
        <v>94</v>
      </c>
      <c r="K53" s="39" t="s">
        <v>113</v>
      </c>
      <c r="L53" s="39" t="s">
        <v>96</v>
      </c>
      <c r="M53" s="39" t="s">
        <v>97</v>
      </c>
      <c r="N53" s="38" t="s">
        <v>191</v>
      </c>
      <c r="O53" s="39" t="s">
        <v>89</v>
      </c>
      <c r="P53" s="39">
        <v>13000</v>
      </c>
      <c r="Q53" s="39">
        <v>5200</v>
      </c>
      <c r="R53" s="39">
        <v>1800</v>
      </c>
      <c r="S53" s="39"/>
    </row>
    <row r="54" spans="1:19" ht="34.950000000000003" customHeight="1" x14ac:dyDescent="0.3">
      <c r="A54" s="39"/>
      <c r="B54" s="39" t="s">
        <v>202</v>
      </c>
      <c r="C54" s="36" t="s">
        <v>184</v>
      </c>
      <c r="D54" s="39" t="s">
        <v>91</v>
      </c>
      <c r="E54" s="39" t="s">
        <v>92</v>
      </c>
      <c r="F54" s="39" t="s">
        <v>95</v>
      </c>
      <c r="G54" s="39">
        <v>8237002632</v>
      </c>
      <c r="H54" s="39" t="s">
        <v>199</v>
      </c>
      <c r="I54" s="39">
        <v>3415038232</v>
      </c>
      <c r="J54" s="39" t="s">
        <v>94</v>
      </c>
      <c r="K54" s="39" t="s">
        <v>113</v>
      </c>
      <c r="L54" s="39" t="s">
        <v>96</v>
      </c>
      <c r="M54" s="39" t="s">
        <v>97</v>
      </c>
      <c r="N54" s="38" t="s">
        <v>192</v>
      </c>
      <c r="O54" s="39" t="s">
        <v>166</v>
      </c>
      <c r="P54" s="39">
        <v>11000</v>
      </c>
      <c r="Q54" s="39">
        <v>4400</v>
      </c>
      <c r="R54" s="39">
        <v>1500</v>
      </c>
      <c r="S54" s="39"/>
    </row>
    <row r="55" spans="1:19" ht="34.950000000000003" customHeight="1" x14ac:dyDescent="0.3">
      <c r="A55" s="39"/>
      <c r="B55" s="39" t="s">
        <v>202</v>
      </c>
      <c r="C55" s="36" t="s">
        <v>185</v>
      </c>
      <c r="D55" s="39" t="s">
        <v>91</v>
      </c>
      <c r="E55" s="39" t="s">
        <v>92</v>
      </c>
      <c r="F55" s="39" t="s">
        <v>95</v>
      </c>
      <c r="G55" s="39">
        <v>8237002632</v>
      </c>
      <c r="H55" s="39" t="s">
        <v>200</v>
      </c>
      <c r="I55" s="39">
        <v>3415202862</v>
      </c>
      <c r="J55" s="39" t="s">
        <v>94</v>
      </c>
      <c r="K55" s="39" t="s">
        <v>113</v>
      </c>
      <c r="L55" s="39" t="s">
        <v>96</v>
      </c>
      <c r="M55" s="39" t="s">
        <v>97</v>
      </c>
      <c r="N55" s="38" t="s">
        <v>192</v>
      </c>
      <c r="O55" s="39" t="s">
        <v>166</v>
      </c>
      <c r="P55" s="39">
        <v>11000</v>
      </c>
      <c r="Q55" s="39">
        <v>4400</v>
      </c>
      <c r="R55" s="39">
        <v>1500</v>
      </c>
      <c r="S55" s="39"/>
    </row>
    <row r="56" spans="1:19" ht="34.950000000000003" customHeight="1" x14ac:dyDescent="0.3">
      <c r="A56" s="39"/>
      <c r="B56" s="39" t="s">
        <v>202</v>
      </c>
      <c r="C56" s="36" t="s">
        <v>201</v>
      </c>
      <c r="D56" s="39" t="s">
        <v>91</v>
      </c>
      <c r="E56" s="39" t="s">
        <v>92</v>
      </c>
      <c r="F56" s="39" t="s">
        <v>95</v>
      </c>
      <c r="G56" s="39">
        <v>8237002632</v>
      </c>
      <c r="H56" s="39" t="s">
        <v>193</v>
      </c>
      <c r="I56" s="39">
        <v>3415495582</v>
      </c>
      <c r="J56" s="39" t="s">
        <v>94</v>
      </c>
      <c r="K56" s="39" t="s">
        <v>113</v>
      </c>
      <c r="L56" s="39" t="s">
        <v>96</v>
      </c>
      <c r="M56" s="39" t="s">
        <v>97</v>
      </c>
      <c r="N56" s="38" t="s">
        <v>130</v>
      </c>
      <c r="O56" s="39" t="s">
        <v>121</v>
      </c>
      <c r="P56" s="39">
        <v>9000</v>
      </c>
      <c r="Q56" s="39">
        <v>3600</v>
      </c>
      <c r="R56" s="39">
        <v>1400</v>
      </c>
      <c r="S56" s="39"/>
    </row>
    <row r="57" spans="1:19" ht="34.950000000000003" customHeight="1" x14ac:dyDescent="0.3">
      <c r="A57" s="39"/>
      <c r="B57" s="39" t="s">
        <v>202</v>
      </c>
      <c r="C57" s="39" t="s">
        <v>186</v>
      </c>
      <c r="D57" s="39" t="s">
        <v>91</v>
      </c>
      <c r="E57" s="39" t="s">
        <v>92</v>
      </c>
      <c r="F57" s="39" t="s">
        <v>95</v>
      </c>
      <c r="G57" s="39">
        <v>8237002632</v>
      </c>
      <c r="H57" s="39" t="s">
        <v>194</v>
      </c>
      <c r="I57" s="39">
        <v>3415153455</v>
      </c>
      <c r="J57" s="39" t="s">
        <v>94</v>
      </c>
      <c r="K57" s="39" t="s">
        <v>113</v>
      </c>
      <c r="L57" s="39" t="s">
        <v>96</v>
      </c>
      <c r="M57" s="39" t="s">
        <v>97</v>
      </c>
      <c r="N57" s="38" t="s">
        <v>130</v>
      </c>
      <c r="O57" s="39" t="s">
        <v>121</v>
      </c>
      <c r="P57" s="39">
        <v>9000</v>
      </c>
      <c r="Q57" s="39">
        <v>3600</v>
      </c>
      <c r="R57" s="39">
        <v>1400</v>
      </c>
      <c r="S57" s="39"/>
    </row>
    <row r="58" spans="1:19" ht="34.950000000000003" customHeight="1" x14ac:dyDescent="0.3">
      <c r="A58" s="39"/>
      <c r="B58" s="39" t="s">
        <v>202</v>
      </c>
      <c r="C58" s="36" t="s">
        <v>187</v>
      </c>
      <c r="D58" s="39" t="s">
        <v>91</v>
      </c>
      <c r="E58" s="39" t="s">
        <v>92</v>
      </c>
      <c r="F58" s="39" t="s">
        <v>95</v>
      </c>
      <c r="G58" s="39">
        <v>8237002632</v>
      </c>
      <c r="H58" s="39" t="s">
        <v>195</v>
      </c>
      <c r="I58" s="39">
        <v>3415495564</v>
      </c>
      <c r="J58" s="39" t="s">
        <v>94</v>
      </c>
      <c r="K58" s="39" t="s">
        <v>113</v>
      </c>
      <c r="L58" s="39" t="s">
        <v>96</v>
      </c>
      <c r="M58" s="39" t="s">
        <v>97</v>
      </c>
      <c r="N58" s="38" t="s">
        <v>130</v>
      </c>
      <c r="O58" s="39" t="s">
        <v>121</v>
      </c>
      <c r="P58" s="39">
        <v>9000</v>
      </c>
      <c r="Q58" s="39">
        <v>3600</v>
      </c>
      <c r="R58" s="39">
        <v>1400</v>
      </c>
      <c r="S58" s="39"/>
    </row>
    <row r="59" spans="1:19" ht="34.950000000000003" customHeight="1" x14ac:dyDescent="0.3">
      <c r="A59" s="39"/>
      <c r="B59" s="39" t="s">
        <v>202</v>
      </c>
      <c r="C59" s="36" t="s">
        <v>188</v>
      </c>
      <c r="D59" s="39" t="s">
        <v>91</v>
      </c>
      <c r="E59" s="39" t="s">
        <v>92</v>
      </c>
      <c r="F59" s="39" t="s">
        <v>95</v>
      </c>
      <c r="G59" s="39">
        <v>8237002632</v>
      </c>
      <c r="H59" s="39" t="s">
        <v>196</v>
      </c>
      <c r="I59" s="39">
        <v>3415742514</v>
      </c>
      <c r="J59" s="39" t="s">
        <v>94</v>
      </c>
      <c r="K59" s="39" t="s">
        <v>113</v>
      </c>
      <c r="L59" s="39" t="s">
        <v>96</v>
      </c>
      <c r="M59" s="39" t="s">
        <v>97</v>
      </c>
      <c r="N59" s="38" t="s">
        <v>130</v>
      </c>
      <c r="O59" s="39" t="s">
        <v>121</v>
      </c>
      <c r="P59" s="39">
        <v>9000</v>
      </c>
      <c r="Q59" s="39">
        <v>3600</v>
      </c>
      <c r="R59" s="39">
        <v>1400</v>
      </c>
      <c r="S59" s="39"/>
    </row>
    <row r="60" spans="1:19" ht="34.950000000000003" customHeight="1" x14ac:dyDescent="0.3">
      <c r="A60" s="39"/>
      <c r="B60" s="39" t="s">
        <v>202</v>
      </c>
      <c r="C60" s="36" t="s">
        <v>189</v>
      </c>
      <c r="D60" s="39" t="s">
        <v>91</v>
      </c>
      <c r="E60" s="39" t="s">
        <v>92</v>
      </c>
      <c r="F60" s="39" t="s">
        <v>95</v>
      </c>
      <c r="G60" s="39">
        <v>8237002632</v>
      </c>
      <c r="H60" s="40">
        <v>101563315905</v>
      </c>
      <c r="I60" s="39">
        <v>3415905831</v>
      </c>
      <c r="J60" s="39" t="s">
        <v>94</v>
      </c>
      <c r="K60" s="39" t="s">
        <v>113</v>
      </c>
      <c r="L60" s="39" t="s">
        <v>96</v>
      </c>
      <c r="M60" s="39" t="s">
        <v>97</v>
      </c>
      <c r="N60" s="38" t="s">
        <v>130</v>
      </c>
      <c r="O60" s="39" t="s">
        <v>121</v>
      </c>
      <c r="P60" s="39">
        <v>9000</v>
      </c>
      <c r="Q60" s="39">
        <v>3600</v>
      </c>
      <c r="R60" s="39">
        <v>1400</v>
      </c>
      <c r="S60" s="39"/>
    </row>
    <row r="61" spans="1:19" ht="34.950000000000003" customHeight="1" x14ac:dyDescent="0.3">
      <c r="A61" s="39"/>
      <c r="B61" s="39" t="s">
        <v>203</v>
      </c>
      <c r="C61" s="36" t="s">
        <v>204</v>
      </c>
      <c r="D61" s="39" t="s">
        <v>91</v>
      </c>
      <c r="E61" s="39" t="s">
        <v>92</v>
      </c>
      <c r="F61" s="39" t="s">
        <v>95</v>
      </c>
      <c r="G61" s="39">
        <v>8237002632</v>
      </c>
      <c r="H61" s="40">
        <v>101507107574</v>
      </c>
      <c r="I61" s="39">
        <v>3415907735</v>
      </c>
      <c r="J61" s="39" t="s">
        <v>94</v>
      </c>
      <c r="K61" s="39" t="s">
        <v>113</v>
      </c>
      <c r="L61" s="39" t="s">
        <v>96</v>
      </c>
      <c r="M61" s="39" t="s">
        <v>97</v>
      </c>
      <c r="N61" s="38" t="s">
        <v>27</v>
      </c>
      <c r="O61" s="39" t="s">
        <v>89</v>
      </c>
      <c r="P61" s="39">
        <v>12000</v>
      </c>
      <c r="Q61" s="39">
        <v>3600</v>
      </c>
      <c r="R61" s="39">
        <v>2400</v>
      </c>
      <c r="S61" s="39"/>
    </row>
    <row r="62" spans="1:19" ht="34.950000000000003" customHeight="1" x14ac:dyDescent="0.3">
      <c r="A62" s="39"/>
      <c r="B62" s="39" t="s">
        <v>203</v>
      </c>
      <c r="C62" s="36" t="s">
        <v>205</v>
      </c>
      <c r="D62" s="39" t="s">
        <v>91</v>
      </c>
      <c r="E62" s="39" t="s">
        <v>92</v>
      </c>
      <c r="F62" s="39" t="s">
        <v>95</v>
      </c>
      <c r="G62" s="39">
        <v>8237002632</v>
      </c>
      <c r="H62" s="40">
        <v>101407554538</v>
      </c>
      <c r="I62" s="39">
        <v>3415906699</v>
      </c>
      <c r="J62" s="39" t="s">
        <v>94</v>
      </c>
      <c r="K62" s="39" t="s">
        <v>113</v>
      </c>
      <c r="L62" s="39" t="s">
        <v>96</v>
      </c>
      <c r="M62" s="39" t="s">
        <v>97</v>
      </c>
      <c r="N62" s="38" t="s">
        <v>27</v>
      </c>
      <c r="O62" s="39" t="s">
        <v>89</v>
      </c>
      <c r="P62" s="39">
        <v>12000</v>
      </c>
      <c r="Q62" s="39">
        <v>3600</v>
      </c>
      <c r="R62" s="39">
        <v>2400</v>
      </c>
      <c r="S62" s="39"/>
    </row>
    <row r="63" spans="1:19" ht="34.950000000000003" customHeight="1" x14ac:dyDescent="0.3">
      <c r="A63" s="39"/>
      <c r="B63" s="39" t="s">
        <v>203</v>
      </c>
      <c r="C63" s="36" t="s">
        <v>206</v>
      </c>
      <c r="D63" s="39" t="s">
        <v>91</v>
      </c>
      <c r="E63" s="39" t="s">
        <v>92</v>
      </c>
      <c r="F63" s="39" t="s">
        <v>95</v>
      </c>
      <c r="G63" s="39">
        <v>8237002632</v>
      </c>
      <c r="H63" s="40">
        <v>100912075852</v>
      </c>
      <c r="I63" s="39">
        <v>3415906572</v>
      </c>
      <c r="J63" s="39" t="s">
        <v>94</v>
      </c>
      <c r="K63" s="39" t="s">
        <v>113</v>
      </c>
      <c r="L63" s="39" t="s">
        <v>96</v>
      </c>
      <c r="M63" s="39" t="s">
        <v>97</v>
      </c>
      <c r="N63" s="38" t="s">
        <v>27</v>
      </c>
      <c r="O63" s="39" t="s">
        <v>89</v>
      </c>
      <c r="P63" s="39">
        <v>12000</v>
      </c>
      <c r="Q63" s="39">
        <v>3600</v>
      </c>
      <c r="R63" s="39">
        <v>2400</v>
      </c>
      <c r="S63" s="39"/>
    </row>
    <row r="64" spans="1:19" ht="34.950000000000003" customHeight="1" x14ac:dyDescent="0.3">
      <c r="A64" s="39"/>
      <c r="B64" s="39" t="s">
        <v>71</v>
      </c>
      <c r="C64" s="36" t="s">
        <v>207</v>
      </c>
      <c r="D64" s="39" t="s">
        <v>91</v>
      </c>
      <c r="E64" s="39" t="s">
        <v>92</v>
      </c>
      <c r="F64" s="39" t="s">
        <v>95</v>
      </c>
      <c r="G64" s="39">
        <v>8237002632</v>
      </c>
      <c r="H64" s="40">
        <v>101529884362</v>
      </c>
      <c r="I64" s="39">
        <v>1510600837</v>
      </c>
      <c r="J64" s="39" t="s">
        <v>94</v>
      </c>
      <c r="K64" s="39" t="s">
        <v>113</v>
      </c>
      <c r="L64" s="39" t="s">
        <v>96</v>
      </c>
      <c r="M64" s="39" t="s">
        <v>97</v>
      </c>
      <c r="N64" s="38" t="s">
        <v>27</v>
      </c>
      <c r="O64" s="39" t="s">
        <v>89</v>
      </c>
      <c r="P64" s="39">
        <v>12000</v>
      </c>
      <c r="Q64" s="39">
        <v>3600</v>
      </c>
      <c r="R64" s="39">
        <v>2400</v>
      </c>
      <c r="S64" s="39"/>
    </row>
  </sheetData>
  <conditionalFormatting sqref="H2:H8">
    <cfRule type="duplicateValues" dxfId="6" priority="7"/>
  </conditionalFormatting>
  <conditionalFormatting sqref="H2:H4">
    <cfRule type="duplicateValues" dxfId="5" priority="6"/>
  </conditionalFormatting>
  <conditionalFormatting sqref="H3">
    <cfRule type="duplicateValues" dxfId="4" priority="5"/>
  </conditionalFormatting>
  <conditionalFormatting sqref="H5:H7">
    <cfRule type="duplicateValues" dxfId="3" priority="4"/>
  </conditionalFormatting>
  <conditionalFormatting sqref="H8">
    <cfRule type="duplicateValues" dxfId="2" priority="3"/>
  </conditionalFormatting>
  <conditionalFormatting sqref="C35">
    <cfRule type="cellIs" dxfId="1" priority="1" stopIfTrue="1" operator="equal">
      <formula>"PH"</formula>
    </cfRule>
    <cfRule type="cellIs" dxfId="0" priority="2" stopIfTrue="1" operator="equal">
      <formula>"H"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0" sqref="B10"/>
    </sheetView>
  </sheetViews>
  <sheetFormatPr defaultRowHeight="14.4" x14ac:dyDescent="0.3"/>
  <cols>
    <col min="1" max="1" width="12.33203125" bestFit="1" customWidth="1"/>
    <col min="2" max="2" width="43.5546875" customWidth="1"/>
  </cols>
  <sheetData>
    <row r="1" spans="1:2" s="35" customFormat="1" ht="34.950000000000003" customHeight="1" x14ac:dyDescent="0.3">
      <c r="A1" s="39" t="s">
        <v>46</v>
      </c>
      <c r="B1" s="39" t="s">
        <v>64</v>
      </c>
    </row>
    <row r="2" spans="1:2" s="35" customFormat="1" ht="34.950000000000003" customHeight="1" x14ac:dyDescent="0.3">
      <c r="A2" s="39" t="s">
        <v>65</v>
      </c>
      <c r="B2" s="44" t="s">
        <v>208</v>
      </c>
    </row>
    <row r="3" spans="1:2" s="35" customFormat="1" ht="34.950000000000003" customHeight="1" x14ac:dyDescent="0.3">
      <c r="A3" s="39" t="s">
        <v>66</v>
      </c>
      <c r="B3" s="39" t="s">
        <v>209</v>
      </c>
    </row>
    <row r="4" spans="1:2" s="35" customFormat="1" ht="34.950000000000003" customHeight="1" x14ac:dyDescent="0.3">
      <c r="A4" s="39" t="s">
        <v>67</v>
      </c>
      <c r="B4" s="39" t="s">
        <v>210</v>
      </c>
    </row>
    <row r="5" spans="1:2" s="35" customFormat="1" ht="34.950000000000003" customHeight="1" x14ac:dyDescent="0.3">
      <c r="A5" s="39" t="s">
        <v>68</v>
      </c>
      <c r="B5" s="39" t="s">
        <v>211</v>
      </c>
    </row>
    <row r="6" spans="1:2" s="35" customFormat="1" ht="34.950000000000003" customHeight="1" x14ac:dyDescent="0.3">
      <c r="A6" s="39" t="s">
        <v>69</v>
      </c>
      <c r="B6" s="39" t="s">
        <v>212</v>
      </c>
    </row>
    <row r="7" spans="1:2" s="35" customFormat="1" ht="34.950000000000003" customHeight="1" x14ac:dyDescent="0.3">
      <c r="A7" s="39" t="s">
        <v>70</v>
      </c>
      <c r="B7" s="44" t="s">
        <v>213</v>
      </c>
    </row>
    <row r="8" spans="1:2" s="35" customFormat="1" ht="34.950000000000003" customHeight="1" x14ac:dyDescent="0.3">
      <c r="A8" s="39" t="s">
        <v>203</v>
      </c>
      <c r="B8" s="44" t="s">
        <v>215</v>
      </c>
    </row>
    <row r="9" spans="1:2" s="35" customFormat="1" ht="34.950000000000003" customHeight="1" x14ac:dyDescent="0.3">
      <c r="A9" s="39" t="s">
        <v>71</v>
      </c>
      <c r="B9" s="3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28"/>
  <sheetViews>
    <sheetView topLeftCell="A3" workbookViewId="0">
      <selection activeCell="F10" sqref="F10"/>
    </sheetView>
  </sheetViews>
  <sheetFormatPr defaultRowHeight="14.4" x14ac:dyDescent="0.3"/>
  <cols>
    <col min="1" max="1" width="13.6640625" bestFit="1" customWidth="1"/>
    <col min="5" max="5" width="9.33203125" customWidth="1"/>
    <col min="6" max="6" width="10.44140625" bestFit="1" customWidth="1"/>
  </cols>
  <sheetData>
    <row r="3" spans="1:12" ht="15" thickBot="1" x14ac:dyDescent="0.35"/>
    <row r="4" spans="1:12" ht="25.8" x14ac:dyDescent="0.5">
      <c r="A4" s="52" t="s">
        <v>0</v>
      </c>
      <c r="B4" s="53"/>
      <c r="C4" s="53"/>
      <c r="D4" s="53"/>
      <c r="E4" s="53"/>
      <c r="F4" s="53"/>
      <c r="G4" s="53"/>
      <c r="H4" s="53"/>
      <c r="I4" s="54"/>
    </row>
    <row r="5" spans="1:12" ht="21" x14ac:dyDescent="0.4">
      <c r="A5" s="55" t="s">
        <v>30</v>
      </c>
      <c r="B5" s="56"/>
      <c r="C5" s="56"/>
      <c r="D5" s="56"/>
      <c r="E5" s="56"/>
      <c r="F5" s="56"/>
      <c r="G5" s="56"/>
      <c r="H5" s="56"/>
      <c r="I5" s="57"/>
      <c r="L5" s="51" t="s">
        <v>250</v>
      </c>
    </row>
    <row r="6" spans="1:12" ht="18" x14ac:dyDescent="0.35">
      <c r="A6" s="58" t="s">
        <v>1</v>
      </c>
      <c r="B6" s="59"/>
      <c r="C6" s="59"/>
      <c r="D6" s="59"/>
      <c r="E6" s="59"/>
      <c r="F6" s="59"/>
      <c r="G6" s="59"/>
      <c r="H6" s="59"/>
      <c r="I6" s="60"/>
    </row>
    <row r="7" spans="1:12" x14ac:dyDescent="0.3">
      <c r="A7" s="61" t="s">
        <v>2</v>
      </c>
      <c r="B7" s="62"/>
      <c r="C7" s="66"/>
      <c r="D7" s="67"/>
      <c r="E7" s="67"/>
      <c r="F7" s="2" t="s">
        <v>3</v>
      </c>
      <c r="G7" s="68"/>
      <c r="H7" s="69"/>
      <c r="I7" s="70"/>
    </row>
    <row r="8" spans="1:12" x14ac:dyDescent="0.3">
      <c r="A8" s="61" t="s">
        <v>31</v>
      </c>
      <c r="B8" s="62"/>
      <c r="C8" s="66"/>
      <c r="D8" s="67"/>
      <c r="E8" s="67"/>
      <c r="F8" s="2" t="s">
        <v>5</v>
      </c>
      <c r="G8" s="71"/>
      <c r="H8" s="72"/>
      <c r="I8" s="73"/>
    </row>
    <row r="9" spans="1:12" x14ac:dyDescent="0.3">
      <c r="A9" s="61" t="s">
        <v>4</v>
      </c>
      <c r="B9" s="62"/>
      <c r="C9" s="66"/>
      <c r="D9" s="67"/>
      <c r="E9" s="67"/>
      <c r="F9" s="2" t="s">
        <v>32</v>
      </c>
      <c r="G9" s="13"/>
      <c r="H9" s="14"/>
      <c r="I9" s="15"/>
    </row>
    <row r="10" spans="1:12" x14ac:dyDescent="0.3">
      <c r="A10" s="61" t="s">
        <v>6</v>
      </c>
      <c r="B10" s="62"/>
      <c r="C10" s="74"/>
      <c r="D10" s="75"/>
      <c r="E10" s="76"/>
      <c r="F10" s="3" t="s">
        <v>33</v>
      </c>
      <c r="G10" s="77"/>
      <c r="H10" s="78"/>
      <c r="I10" s="79"/>
    </row>
    <row r="11" spans="1:12" ht="15" thickBot="1" x14ac:dyDescent="0.35">
      <c r="A11" s="61" t="s">
        <v>7</v>
      </c>
      <c r="B11" s="62"/>
      <c r="C11" s="63">
        <v>21200</v>
      </c>
      <c r="D11" s="63"/>
      <c r="E11" s="63"/>
      <c r="F11" s="2" t="s">
        <v>8</v>
      </c>
      <c r="G11" s="64">
        <f>D19-H19</f>
        <v>0</v>
      </c>
      <c r="H11" s="64"/>
      <c r="I11" s="65"/>
    </row>
    <row r="12" spans="1:12" ht="15" thickBot="1" x14ac:dyDescent="0.35">
      <c r="A12" s="4" t="s">
        <v>9</v>
      </c>
      <c r="B12" s="80" t="s">
        <v>10</v>
      </c>
      <c r="C12" s="81"/>
      <c r="D12" s="80" t="s">
        <v>11</v>
      </c>
      <c r="E12" s="81"/>
      <c r="F12" s="80" t="s">
        <v>12</v>
      </c>
      <c r="G12" s="81"/>
      <c r="H12" s="80" t="s">
        <v>11</v>
      </c>
      <c r="I12" s="82"/>
    </row>
    <row r="13" spans="1:12" x14ac:dyDescent="0.3">
      <c r="A13" s="5">
        <v>1</v>
      </c>
      <c r="B13" s="83" t="s">
        <v>13</v>
      </c>
      <c r="C13" s="84"/>
      <c r="D13" s="85">
        <f>11930/30*C10</f>
        <v>0</v>
      </c>
      <c r="E13" s="85"/>
      <c r="F13" s="83" t="s">
        <v>14</v>
      </c>
      <c r="G13" s="84"/>
      <c r="H13" s="86">
        <f>15000/30*C10*12%</f>
        <v>0</v>
      </c>
      <c r="I13" s="87"/>
    </row>
    <row r="14" spans="1:12" x14ac:dyDescent="0.3">
      <c r="A14" s="6">
        <v>2</v>
      </c>
      <c r="B14" s="77" t="s">
        <v>15</v>
      </c>
      <c r="C14" s="88"/>
      <c r="D14" s="89">
        <f>D13*40%</f>
        <v>0</v>
      </c>
      <c r="E14" s="89"/>
      <c r="F14" s="77" t="s">
        <v>16</v>
      </c>
      <c r="G14" s="88"/>
      <c r="H14" s="71">
        <v>0</v>
      </c>
      <c r="I14" s="90"/>
    </row>
    <row r="15" spans="1:12" x14ac:dyDescent="0.3">
      <c r="A15" s="6">
        <v>3</v>
      </c>
      <c r="B15" s="77" t="s">
        <v>17</v>
      </c>
      <c r="C15" s="88"/>
      <c r="D15" s="71">
        <f>C11/30*C10-D13-D14</f>
        <v>0</v>
      </c>
      <c r="E15" s="91"/>
      <c r="F15" s="77" t="s">
        <v>18</v>
      </c>
      <c r="G15" s="88"/>
      <c r="H15" s="92" t="str">
        <f>IF(D19&gt;=10000,"200",IF(D19 &gt;=7500,"175","0"))</f>
        <v>0</v>
      </c>
      <c r="I15" s="93"/>
    </row>
    <row r="16" spans="1:12" x14ac:dyDescent="0.3">
      <c r="A16" s="6">
        <v>4</v>
      </c>
      <c r="B16" s="77" t="s">
        <v>20</v>
      </c>
      <c r="C16" s="88"/>
      <c r="D16" s="77">
        <v>0</v>
      </c>
      <c r="E16" s="88"/>
      <c r="F16" s="77" t="s">
        <v>34</v>
      </c>
      <c r="G16" s="88"/>
      <c r="H16" s="77">
        <v>0</v>
      </c>
      <c r="I16" s="94"/>
    </row>
    <row r="17" spans="1:9" x14ac:dyDescent="0.3">
      <c r="A17" s="7">
        <v>5</v>
      </c>
      <c r="B17" s="77" t="s">
        <v>19</v>
      </c>
      <c r="C17" s="88"/>
      <c r="D17" s="77">
        <v>0</v>
      </c>
      <c r="E17" s="95"/>
      <c r="F17" s="77" t="s">
        <v>35</v>
      </c>
      <c r="G17" s="95"/>
      <c r="H17" s="77">
        <v>0</v>
      </c>
      <c r="I17" s="94"/>
    </row>
    <row r="18" spans="1:9" x14ac:dyDescent="0.3">
      <c r="A18" s="7">
        <v>6</v>
      </c>
      <c r="B18" s="77" t="s">
        <v>36</v>
      </c>
      <c r="C18" s="88"/>
      <c r="D18" s="77">
        <v>0</v>
      </c>
      <c r="E18" s="88"/>
      <c r="F18" s="77" t="s">
        <v>37</v>
      </c>
      <c r="G18" s="95"/>
      <c r="H18" s="77">
        <v>0</v>
      </c>
      <c r="I18" s="94"/>
    </row>
    <row r="19" spans="1:9" s="19" customFormat="1" x14ac:dyDescent="0.3">
      <c r="A19" s="2">
        <v>7</v>
      </c>
      <c r="B19" s="16" t="s">
        <v>21</v>
      </c>
      <c r="C19" s="17"/>
      <c r="D19" s="71">
        <f>D13+D14+D15+D16+D17</f>
        <v>0</v>
      </c>
      <c r="E19" s="91"/>
      <c r="F19" s="18" t="s">
        <v>22</v>
      </c>
      <c r="G19" s="17"/>
      <c r="H19" s="71">
        <f>H13+H14+H15+H16</f>
        <v>0</v>
      </c>
      <c r="I19" s="90"/>
    </row>
    <row r="20" spans="1:9" s="19" customFormat="1" x14ac:dyDescent="0.3">
      <c r="A20" s="99"/>
      <c r="B20" s="100"/>
      <c r="C20" s="100"/>
      <c r="D20" s="100"/>
      <c r="E20" s="100"/>
      <c r="F20" s="100"/>
      <c r="G20" s="100"/>
      <c r="H20" s="100"/>
      <c r="I20" s="101"/>
    </row>
    <row r="21" spans="1:9" ht="15" customHeight="1" x14ac:dyDescent="0.3">
      <c r="A21" s="20" t="s">
        <v>38</v>
      </c>
      <c r="B21" s="96" t="s">
        <v>39</v>
      </c>
      <c r="C21" s="96"/>
      <c r="D21" s="97" t="s">
        <v>40</v>
      </c>
      <c r="E21" s="97"/>
      <c r="F21" s="97" t="s">
        <v>41</v>
      </c>
      <c r="G21" s="97"/>
      <c r="H21" s="97" t="s">
        <v>42</v>
      </c>
      <c r="I21" s="98"/>
    </row>
    <row r="22" spans="1:9" ht="15.6" x14ac:dyDescent="0.3">
      <c r="A22" s="21" t="s">
        <v>43</v>
      </c>
      <c r="B22" s="96"/>
      <c r="C22" s="96"/>
      <c r="D22" s="97"/>
      <c r="E22" s="97"/>
      <c r="F22" s="97"/>
      <c r="G22" s="97"/>
      <c r="H22" s="97"/>
      <c r="I22" s="98"/>
    </row>
    <row r="23" spans="1:9" ht="15.75" customHeight="1" x14ac:dyDescent="0.3">
      <c r="A23" s="21" t="s">
        <v>44</v>
      </c>
      <c r="B23" s="96"/>
      <c r="C23" s="96"/>
      <c r="D23" s="97"/>
      <c r="E23" s="97"/>
      <c r="F23" s="97"/>
      <c r="G23" s="97"/>
      <c r="H23" s="97"/>
      <c r="I23" s="98"/>
    </row>
    <row r="24" spans="1:9" ht="15.75" customHeight="1" x14ac:dyDescent="0.3">
      <c r="A24" s="103"/>
      <c r="B24" s="104"/>
      <c r="C24" s="104"/>
      <c r="D24" s="104"/>
      <c r="E24" s="104"/>
      <c r="F24" s="104"/>
      <c r="G24" s="104"/>
      <c r="H24" s="104"/>
      <c r="I24" s="105"/>
    </row>
    <row r="25" spans="1:9" x14ac:dyDescent="0.3">
      <c r="A25" s="106" t="s">
        <v>23</v>
      </c>
      <c r="B25" s="107"/>
      <c r="C25" s="108"/>
      <c r="D25" s="108"/>
      <c r="E25" s="108"/>
      <c r="F25" s="108"/>
      <c r="G25" s="108"/>
      <c r="H25" s="108"/>
      <c r="I25" s="109"/>
    </row>
    <row r="26" spans="1:9" x14ac:dyDescent="0.3">
      <c r="A26" s="8"/>
      <c r="B26" s="1"/>
      <c r="C26" s="1"/>
      <c r="D26" s="1"/>
      <c r="E26" s="1"/>
      <c r="F26" s="1"/>
      <c r="G26" s="1"/>
      <c r="H26" s="1"/>
      <c r="I26" s="9"/>
    </row>
    <row r="27" spans="1:9" x14ac:dyDescent="0.3">
      <c r="A27" s="8"/>
      <c r="B27" s="1"/>
      <c r="C27" s="1"/>
      <c r="D27" s="1"/>
      <c r="E27" s="1"/>
      <c r="F27" s="1"/>
      <c r="G27" s="1"/>
      <c r="H27" s="1"/>
      <c r="I27" s="9"/>
    </row>
    <row r="28" spans="1:9" ht="15" thickBot="1" x14ac:dyDescent="0.35">
      <c r="A28" s="10"/>
      <c r="B28" s="11"/>
      <c r="C28" s="102" t="s">
        <v>24</v>
      </c>
      <c r="D28" s="102"/>
      <c r="E28" s="11"/>
      <c r="F28" s="11"/>
      <c r="G28" s="102" t="s">
        <v>25</v>
      </c>
      <c r="H28" s="102"/>
      <c r="I28" s="12"/>
    </row>
  </sheetData>
  <mergeCells count="65">
    <mergeCell ref="D21:E21"/>
    <mergeCell ref="F21:G21"/>
    <mergeCell ref="H21:I21"/>
    <mergeCell ref="C28:D28"/>
    <mergeCell ref="B23:C23"/>
    <mergeCell ref="D23:E23"/>
    <mergeCell ref="F23:G23"/>
    <mergeCell ref="H23:I23"/>
    <mergeCell ref="A24:I24"/>
    <mergeCell ref="A25:B25"/>
    <mergeCell ref="C25:I25"/>
    <mergeCell ref="G28:H28"/>
    <mergeCell ref="B17:C17"/>
    <mergeCell ref="D17:E17"/>
    <mergeCell ref="F17:G17"/>
    <mergeCell ref="H17:I17"/>
    <mergeCell ref="B22:C22"/>
    <mergeCell ref="D22:E22"/>
    <mergeCell ref="F22:G22"/>
    <mergeCell ref="H22:I22"/>
    <mergeCell ref="B18:C18"/>
    <mergeCell ref="D18:E18"/>
    <mergeCell ref="F18:G18"/>
    <mergeCell ref="H18:I18"/>
    <mergeCell ref="D19:E19"/>
    <mergeCell ref="H19:I19"/>
    <mergeCell ref="A20:I20"/>
    <mergeCell ref="B21:C21"/>
    <mergeCell ref="B15:C15"/>
    <mergeCell ref="D15:E15"/>
    <mergeCell ref="F15:G15"/>
    <mergeCell ref="H15:I15"/>
    <mergeCell ref="B16:C16"/>
    <mergeCell ref="D16:E16"/>
    <mergeCell ref="F16:G16"/>
    <mergeCell ref="H16:I16"/>
    <mergeCell ref="B13:C13"/>
    <mergeCell ref="D13:E13"/>
    <mergeCell ref="F13:G13"/>
    <mergeCell ref="H13:I13"/>
    <mergeCell ref="B14:C14"/>
    <mergeCell ref="D14:E14"/>
    <mergeCell ref="F14:G14"/>
    <mergeCell ref="H14:I14"/>
    <mergeCell ref="G10:I10"/>
    <mergeCell ref="B12:C12"/>
    <mergeCell ref="D12:E12"/>
    <mergeCell ref="F12:G12"/>
    <mergeCell ref="H12:I12"/>
    <mergeCell ref="A4:I4"/>
    <mergeCell ref="A5:I5"/>
    <mergeCell ref="A6:I6"/>
    <mergeCell ref="A11:B11"/>
    <mergeCell ref="C11:E11"/>
    <mergeCell ref="G11:I11"/>
    <mergeCell ref="A7:B7"/>
    <mergeCell ref="C7:E7"/>
    <mergeCell ref="G7:I7"/>
    <mergeCell ref="A8:B8"/>
    <mergeCell ref="C8:E8"/>
    <mergeCell ref="G8:I8"/>
    <mergeCell ref="A9:B9"/>
    <mergeCell ref="C9:E9"/>
    <mergeCell ref="A10:B10"/>
    <mergeCell ref="C10:E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topLeftCell="D1" workbookViewId="0">
      <selection activeCell="H10" sqref="H10"/>
    </sheetView>
  </sheetViews>
  <sheetFormatPr defaultColWidth="30.88671875" defaultRowHeight="14.4" x14ac:dyDescent="0.3"/>
  <cols>
    <col min="1" max="2" width="30.88671875" style="50"/>
    <col min="3" max="3" width="33.5546875" style="50" bestFit="1" customWidth="1"/>
    <col min="6" max="10" width="30.88671875" customWidth="1"/>
    <col min="259" max="259" width="33.5546875" bestFit="1" customWidth="1"/>
    <col min="262" max="266" width="30.88671875" customWidth="1"/>
    <col min="515" max="515" width="33.5546875" bestFit="1" customWidth="1"/>
    <col min="518" max="522" width="30.88671875" customWidth="1"/>
    <col min="771" max="771" width="33.5546875" bestFit="1" customWidth="1"/>
    <col min="774" max="778" width="30.88671875" customWidth="1"/>
    <col min="1027" max="1027" width="33.5546875" bestFit="1" customWidth="1"/>
    <col min="1030" max="1034" width="30.88671875" customWidth="1"/>
    <col min="1283" max="1283" width="33.5546875" bestFit="1" customWidth="1"/>
    <col min="1286" max="1290" width="30.88671875" customWidth="1"/>
    <col min="1539" max="1539" width="33.5546875" bestFit="1" customWidth="1"/>
    <col min="1542" max="1546" width="30.88671875" customWidth="1"/>
    <col min="1795" max="1795" width="33.5546875" bestFit="1" customWidth="1"/>
    <col min="1798" max="1802" width="30.88671875" customWidth="1"/>
    <col min="2051" max="2051" width="33.5546875" bestFit="1" customWidth="1"/>
    <col min="2054" max="2058" width="30.88671875" customWidth="1"/>
    <col min="2307" max="2307" width="33.5546875" bestFit="1" customWidth="1"/>
    <col min="2310" max="2314" width="30.88671875" customWidth="1"/>
    <col min="2563" max="2563" width="33.5546875" bestFit="1" customWidth="1"/>
    <col min="2566" max="2570" width="30.88671875" customWidth="1"/>
    <col min="2819" max="2819" width="33.5546875" bestFit="1" customWidth="1"/>
    <col min="2822" max="2826" width="30.88671875" customWidth="1"/>
    <col min="3075" max="3075" width="33.5546875" bestFit="1" customWidth="1"/>
    <col min="3078" max="3082" width="30.88671875" customWidth="1"/>
    <col min="3331" max="3331" width="33.5546875" bestFit="1" customWidth="1"/>
    <col min="3334" max="3338" width="30.88671875" customWidth="1"/>
    <col min="3587" max="3587" width="33.5546875" bestFit="1" customWidth="1"/>
    <col min="3590" max="3594" width="30.88671875" customWidth="1"/>
    <col min="3843" max="3843" width="33.5546875" bestFit="1" customWidth="1"/>
    <col min="3846" max="3850" width="30.88671875" customWidth="1"/>
    <col min="4099" max="4099" width="33.5546875" bestFit="1" customWidth="1"/>
    <col min="4102" max="4106" width="30.88671875" customWidth="1"/>
    <col min="4355" max="4355" width="33.5546875" bestFit="1" customWidth="1"/>
    <col min="4358" max="4362" width="30.88671875" customWidth="1"/>
    <col min="4611" max="4611" width="33.5546875" bestFit="1" customWidth="1"/>
    <col min="4614" max="4618" width="30.88671875" customWidth="1"/>
    <col min="4867" max="4867" width="33.5546875" bestFit="1" customWidth="1"/>
    <col min="4870" max="4874" width="30.88671875" customWidth="1"/>
    <col min="5123" max="5123" width="33.5546875" bestFit="1" customWidth="1"/>
    <col min="5126" max="5130" width="30.88671875" customWidth="1"/>
    <col min="5379" max="5379" width="33.5546875" bestFit="1" customWidth="1"/>
    <col min="5382" max="5386" width="30.88671875" customWidth="1"/>
    <col min="5635" max="5635" width="33.5546875" bestFit="1" customWidth="1"/>
    <col min="5638" max="5642" width="30.88671875" customWidth="1"/>
    <col min="5891" max="5891" width="33.5546875" bestFit="1" customWidth="1"/>
    <col min="5894" max="5898" width="30.88671875" customWidth="1"/>
    <col min="6147" max="6147" width="33.5546875" bestFit="1" customWidth="1"/>
    <col min="6150" max="6154" width="30.88671875" customWidth="1"/>
    <col min="6403" max="6403" width="33.5546875" bestFit="1" customWidth="1"/>
    <col min="6406" max="6410" width="30.88671875" customWidth="1"/>
    <col min="6659" max="6659" width="33.5546875" bestFit="1" customWidth="1"/>
    <col min="6662" max="6666" width="30.88671875" customWidth="1"/>
    <col min="6915" max="6915" width="33.5546875" bestFit="1" customWidth="1"/>
    <col min="6918" max="6922" width="30.88671875" customWidth="1"/>
    <col min="7171" max="7171" width="33.5546875" bestFit="1" customWidth="1"/>
    <col min="7174" max="7178" width="30.88671875" customWidth="1"/>
    <col min="7427" max="7427" width="33.5546875" bestFit="1" customWidth="1"/>
    <col min="7430" max="7434" width="30.88671875" customWidth="1"/>
    <col min="7683" max="7683" width="33.5546875" bestFit="1" customWidth="1"/>
    <col min="7686" max="7690" width="30.88671875" customWidth="1"/>
    <col min="7939" max="7939" width="33.5546875" bestFit="1" customWidth="1"/>
    <col min="7942" max="7946" width="30.88671875" customWidth="1"/>
    <col min="8195" max="8195" width="33.5546875" bestFit="1" customWidth="1"/>
    <col min="8198" max="8202" width="30.88671875" customWidth="1"/>
    <col min="8451" max="8451" width="33.5546875" bestFit="1" customWidth="1"/>
    <col min="8454" max="8458" width="30.88671875" customWidth="1"/>
    <col min="8707" max="8707" width="33.5546875" bestFit="1" customWidth="1"/>
    <col min="8710" max="8714" width="30.88671875" customWidth="1"/>
    <col min="8963" max="8963" width="33.5546875" bestFit="1" customWidth="1"/>
    <col min="8966" max="8970" width="30.88671875" customWidth="1"/>
    <col min="9219" max="9219" width="33.5546875" bestFit="1" customWidth="1"/>
    <col min="9222" max="9226" width="30.88671875" customWidth="1"/>
    <col min="9475" max="9475" width="33.5546875" bestFit="1" customWidth="1"/>
    <col min="9478" max="9482" width="30.88671875" customWidth="1"/>
    <col min="9731" max="9731" width="33.5546875" bestFit="1" customWidth="1"/>
    <col min="9734" max="9738" width="30.88671875" customWidth="1"/>
    <col min="9987" max="9987" width="33.5546875" bestFit="1" customWidth="1"/>
    <col min="9990" max="9994" width="30.88671875" customWidth="1"/>
    <col min="10243" max="10243" width="33.5546875" bestFit="1" customWidth="1"/>
    <col min="10246" max="10250" width="30.88671875" customWidth="1"/>
    <col min="10499" max="10499" width="33.5546875" bestFit="1" customWidth="1"/>
    <col min="10502" max="10506" width="30.88671875" customWidth="1"/>
    <col min="10755" max="10755" width="33.5546875" bestFit="1" customWidth="1"/>
    <col min="10758" max="10762" width="30.88671875" customWidth="1"/>
    <col min="11011" max="11011" width="33.5546875" bestFit="1" customWidth="1"/>
    <col min="11014" max="11018" width="30.88671875" customWidth="1"/>
    <col min="11267" max="11267" width="33.5546875" bestFit="1" customWidth="1"/>
    <col min="11270" max="11274" width="30.88671875" customWidth="1"/>
    <col min="11523" max="11523" width="33.5546875" bestFit="1" customWidth="1"/>
    <col min="11526" max="11530" width="30.88671875" customWidth="1"/>
    <col min="11779" max="11779" width="33.5546875" bestFit="1" customWidth="1"/>
    <col min="11782" max="11786" width="30.88671875" customWidth="1"/>
    <col min="12035" max="12035" width="33.5546875" bestFit="1" customWidth="1"/>
    <col min="12038" max="12042" width="30.88671875" customWidth="1"/>
    <col min="12291" max="12291" width="33.5546875" bestFit="1" customWidth="1"/>
    <col min="12294" max="12298" width="30.88671875" customWidth="1"/>
    <col min="12547" max="12547" width="33.5546875" bestFit="1" customWidth="1"/>
    <col min="12550" max="12554" width="30.88671875" customWidth="1"/>
    <col min="12803" max="12803" width="33.5546875" bestFit="1" customWidth="1"/>
    <col min="12806" max="12810" width="30.88671875" customWidth="1"/>
    <col min="13059" max="13059" width="33.5546875" bestFit="1" customWidth="1"/>
    <col min="13062" max="13066" width="30.88671875" customWidth="1"/>
    <col min="13315" max="13315" width="33.5546875" bestFit="1" customWidth="1"/>
    <col min="13318" max="13322" width="30.88671875" customWidth="1"/>
    <col min="13571" max="13571" width="33.5546875" bestFit="1" customWidth="1"/>
    <col min="13574" max="13578" width="30.88671875" customWidth="1"/>
    <col min="13827" max="13827" width="33.5546875" bestFit="1" customWidth="1"/>
    <col min="13830" max="13834" width="30.88671875" customWidth="1"/>
    <col min="14083" max="14083" width="33.5546875" bestFit="1" customWidth="1"/>
    <col min="14086" max="14090" width="30.88671875" customWidth="1"/>
    <col min="14339" max="14339" width="33.5546875" bestFit="1" customWidth="1"/>
    <col min="14342" max="14346" width="30.88671875" customWidth="1"/>
    <col min="14595" max="14595" width="33.5546875" bestFit="1" customWidth="1"/>
    <col min="14598" max="14602" width="30.88671875" customWidth="1"/>
    <col min="14851" max="14851" width="33.5546875" bestFit="1" customWidth="1"/>
    <col min="14854" max="14858" width="30.88671875" customWidth="1"/>
    <col min="15107" max="15107" width="33.5546875" bestFit="1" customWidth="1"/>
    <col min="15110" max="15114" width="30.88671875" customWidth="1"/>
    <col min="15363" max="15363" width="33.5546875" bestFit="1" customWidth="1"/>
    <col min="15366" max="15370" width="30.88671875" customWidth="1"/>
    <col min="15619" max="15619" width="33.5546875" bestFit="1" customWidth="1"/>
    <col min="15622" max="15626" width="30.88671875" customWidth="1"/>
    <col min="15875" max="15875" width="33.5546875" bestFit="1" customWidth="1"/>
    <col min="15878" max="15882" width="30.88671875" customWidth="1"/>
    <col min="16131" max="16131" width="33.5546875" bestFit="1" customWidth="1"/>
    <col min="16134" max="16138" width="30.88671875" customWidth="1"/>
  </cols>
  <sheetData>
    <row r="1" spans="1:12" s="35" customFormat="1" x14ac:dyDescent="0.3">
      <c r="A1" s="45" t="s">
        <v>3</v>
      </c>
      <c r="B1" s="45" t="s">
        <v>5</v>
      </c>
      <c r="C1" s="45" t="s">
        <v>216</v>
      </c>
      <c r="D1" s="45" t="s">
        <v>217</v>
      </c>
      <c r="E1" s="45" t="s">
        <v>218</v>
      </c>
      <c r="F1" s="45" t="s">
        <v>219</v>
      </c>
      <c r="G1" s="45" t="s">
        <v>220</v>
      </c>
      <c r="H1" s="45" t="s">
        <v>221</v>
      </c>
      <c r="I1" s="45" t="s">
        <v>222</v>
      </c>
      <c r="J1" s="45" t="s">
        <v>223</v>
      </c>
      <c r="K1" s="45" t="s">
        <v>224</v>
      </c>
      <c r="L1" s="45" t="s">
        <v>225</v>
      </c>
    </row>
    <row r="2" spans="1:12" s="35" customFormat="1" x14ac:dyDescent="0.3">
      <c r="A2" s="46"/>
      <c r="B2" s="46" t="s">
        <v>53</v>
      </c>
      <c r="C2" s="46" t="s">
        <v>226</v>
      </c>
      <c r="D2" s="47" t="s">
        <v>227</v>
      </c>
      <c r="E2" s="47" t="s">
        <v>218</v>
      </c>
      <c r="F2" s="40" t="str">
        <f t="shared" ref="F2" si="0">E2</f>
        <v>EPF WAGES</v>
      </c>
      <c r="G2" s="40" t="str">
        <f t="shared" ref="G2" si="1">E2</f>
        <v>EPF WAGES</v>
      </c>
      <c r="H2" s="48" t="s">
        <v>228</v>
      </c>
      <c r="I2" s="47" t="s">
        <v>229</v>
      </c>
      <c r="J2" s="47" t="s">
        <v>230</v>
      </c>
      <c r="K2" s="39">
        <v>0</v>
      </c>
      <c r="L2" s="39">
        <v>0</v>
      </c>
    </row>
    <row r="3" spans="1:12" s="35" customFormat="1" x14ac:dyDescent="0.3">
      <c r="B3" s="39"/>
      <c r="C3" s="36"/>
      <c r="D3" s="40"/>
      <c r="E3" s="40"/>
      <c r="F3" s="40"/>
      <c r="G3" s="40"/>
      <c r="H3" s="48"/>
      <c r="I3" s="40"/>
      <c r="J3" s="40"/>
      <c r="K3" s="39"/>
      <c r="L3" s="39"/>
    </row>
    <row r="4" spans="1:12" s="35" customFormat="1" x14ac:dyDescent="0.3">
      <c r="A4" s="42" t="s">
        <v>251</v>
      </c>
      <c r="B4" s="39"/>
      <c r="C4" s="36"/>
      <c r="D4" s="40"/>
      <c r="E4" s="40"/>
      <c r="F4" s="40"/>
      <c r="G4" s="40"/>
      <c r="H4" s="48"/>
      <c r="I4" s="40"/>
      <c r="J4" s="40"/>
      <c r="K4" s="39"/>
      <c r="L4" s="39"/>
    </row>
    <row r="5" spans="1:12" s="35" customFormat="1" x14ac:dyDescent="0.3">
      <c r="A5" s="39"/>
      <c r="B5" s="39"/>
      <c r="C5" s="36"/>
      <c r="D5" s="40"/>
      <c r="E5" s="40"/>
      <c r="F5" s="40"/>
      <c r="G5" s="40"/>
      <c r="H5" s="48"/>
      <c r="I5" s="40"/>
      <c r="J5" s="40"/>
      <c r="K5" s="39"/>
      <c r="L5" s="39"/>
    </row>
    <row r="6" spans="1:12" s="35" customFormat="1" x14ac:dyDescent="0.3">
      <c r="A6" s="39"/>
      <c r="B6" s="39"/>
      <c r="C6" s="36"/>
      <c r="D6" s="40"/>
      <c r="E6" s="40"/>
      <c r="F6" s="40"/>
      <c r="G6" s="40"/>
      <c r="H6" s="48"/>
      <c r="I6" s="40"/>
      <c r="J6" s="40"/>
      <c r="K6" s="39"/>
      <c r="L6" s="39"/>
    </row>
    <row r="7" spans="1:12" s="35" customFormat="1" x14ac:dyDescent="0.3">
      <c r="A7" s="39"/>
      <c r="B7" s="39"/>
      <c r="C7" s="36"/>
      <c r="D7" s="40"/>
      <c r="E7" s="40"/>
      <c r="F7" s="40"/>
      <c r="G7" s="40"/>
      <c r="H7" s="48"/>
      <c r="I7" s="40"/>
      <c r="J7" s="40"/>
      <c r="K7" s="39"/>
      <c r="L7" s="39"/>
    </row>
    <row r="8" spans="1:12" s="35" customFormat="1" x14ac:dyDescent="0.3">
      <c r="A8" s="39"/>
      <c r="B8" s="39"/>
      <c r="C8" s="36"/>
      <c r="D8" s="40"/>
      <c r="E8" s="40"/>
      <c r="F8" s="40"/>
      <c r="G8" s="40"/>
      <c r="H8" s="40"/>
      <c r="I8" s="40"/>
      <c r="J8" s="40"/>
      <c r="K8" s="39"/>
      <c r="L8" s="39"/>
    </row>
    <row r="9" spans="1:12" s="35" customFormat="1" x14ac:dyDescent="0.3">
      <c r="A9" s="39"/>
      <c r="B9" s="39"/>
      <c r="C9" s="36"/>
      <c r="D9" s="40"/>
      <c r="E9" s="40"/>
      <c r="F9" s="40"/>
      <c r="G9" s="40"/>
      <c r="H9" s="40"/>
      <c r="I9" s="40"/>
      <c r="J9" s="40"/>
      <c r="K9" s="39"/>
      <c r="L9" s="39"/>
    </row>
    <row r="10" spans="1:12" s="35" customFormat="1" x14ac:dyDescent="0.3">
      <c r="A10" s="39"/>
      <c r="B10" s="39"/>
      <c r="C10" s="36"/>
      <c r="D10" s="40"/>
      <c r="E10" s="40"/>
      <c r="F10" s="40"/>
      <c r="G10" s="40"/>
      <c r="H10" s="40"/>
      <c r="I10" s="40"/>
      <c r="J10" s="40"/>
      <c r="K10" s="39"/>
      <c r="L10" s="39"/>
    </row>
    <row r="11" spans="1:12" s="35" customFormat="1" x14ac:dyDescent="0.3">
      <c r="A11" s="39"/>
      <c r="B11" s="39"/>
      <c r="C11" s="36"/>
      <c r="D11" s="40"/>
      <c r="E11" s="40"/>
      <c r="F11" s="40"/>
      <c r="G11" s="40"/>
      <c r="H11" s="40"/>
      <c r="I11" s="40"/>
      <c r="J11" s="40"/>
      <c r="K11" s="39"/>
      <c r="L11" s="39"/>
    </row>
    <row r="12" spans="1:12" s="35" customFormat="1" x14ac:dyDescent="0.3">
      <c r="A12" s="39"/>
      <c r="B12" s="39"/>
      <c r="C12" s="36"/>
      <c r="D12" s="40"/>
      <c r="E12" s="40"/>
      <c r="F12" s="40"/>
      <c r="G12" s="40"/>
      <c r="H12" s="40"/>
      <c r="I12" s="40"/>
      <c r="J12" s="40"/>
      <c r="K12" s="39"/>
      <c r="L12" s="39"/>
    </row>
    <row r="13" spans="1:12" s="35" customFormat="1" x14ac:dyDescent="0.3">
      <c r="A13" s="39"/>
      <c r="B13" s="39"/>
      <c r="C13" s="36"/>
      <c r="D13" s="40"/>
      <c r="E13" s="40"/>
      <c r="F13" s="40"/>
      <c r="G13" s="40"/>
      <c r="H13" s="40"/>
      <c r="I13" s="40"/>
      <c r="J13" s="40"/>
      <c r="K13" s="39"/>
      <c r="L13" s="39"/>
    </row>
    <row r="14" spans="1:12" s="35" customFormat="1" x14ac:dyDescent="0.3">
      <c r="A14" s="39"/>
      <c r="B14" s="39"/>
      <c r="C14" s="36"/>
      <c r="D14" s="40"/>
      <c r="E14" s="40"/>
      <c r="F14" s="40"/>
      <c r="G14" s="40"/>
      <c r="H14" s="40"/>
      <c r="I14" s="40"/>
      <c r="J14" s="40"/>
      <c r="K14" s="39"/>
      <c r="L14" s="39"/>
    </row>
    <row r="15" spans="1:12" s="35" customFormat="1" ht="16.8" x14ac:dyDescent="0.3">
      <c r="A15" s="49"/>
      <c r="B15" s="49"/>
      <c r="C15" s="36"/>
      <c r="D15" s="40"/>
      <c r="E15" s="40"/>
      <c r="F15" s="40"/>
      <c r="G15" s="40"/>
      <c r="H15" s="40"/>
      <c r="I15" s="40"/>
      <c r="J15" s="40"/>
      <c r="K15" s="39"/>
      <c r="L15" s="39"/>
    </row>
    <row r="16" spans="1:12" s="35" customFormat="1" x14ac:dyDescent="0.3">
      <c r="A16" s="39"/>
      <c r="B16" s="39"/>
      <c r="C16" s="36"/>
      <c r="D16" s="40"/>
      <c r="E16" s="40"/>
      <c r="F16" s="40"/>
      <c r="G16" s="40"/>
      <c r="H16" s="40"/>
      <c r="I16" s="40"/>
      <c r="J16" s="40"/>
      <c r="K16" s="39"/>
      <c r="L16" s="39"/>
    </row>
    <row r="17" spans="1:12" s="35" customFormat="1" x14ac:dyDescent="0.3">
      <c r="A17" s="39"/>
      <c r="B17" s="39"/>
      <c r="C17" s="36"/>
      <c r="D17" s="40"/>
      <c r="E17" s="40"/>
      <c r="F17" s="40"/>
      <c r="G17" s="40"/>
      <c r="H17" s="40"/>
      <c r="I17" s="40"/>
      <c r="J17" s="40"/>
      <c r="K17" s="39"/>
      <c r="L17" s="39"/>
    </row>
    <row r="18" spans="1:12" s="35" customFormat="1" x14ac:dyDescent="0.3">
      <c r="A18" s="39"/>
      <c r="B18" s="39"/>
      <c r="C18" s="36"/>
      <c r="D18" s="40"/>
      <c r="E18" s="40"/>
      <c r="F18" s="40"/>
      <c r="G18" s="40"/>
      <c r="H18" s="40"/>
      <c r="I18" s="40"/>
      <c r="J18" s="40"/>
      <c r="K18" s="39"/>
      <c r="L18" s="39"/>
    </row>
    <row r="19" spans="1:12" s="35" customFormat="1" x14ac:dyDescent="0.3">
      <c r="A19" s="39"/>
      <c r="B19" s="39"/>
      <c r="C19" s="36"/>
      <c r="D19" s="40"/>
      <c r="E19" s="40"/>
      <c r="F19" s="40"/>
      <c r="G19" s="40"/>
      <c r="H19" s="40"/>
      <c r="I19" s="40"/>
      <c r="J19" s="40"/>
      <c r="K19" s="39"/>
      <c r="L19" s="39"/>
    </row>
    <row r="20" spans="1:12" s="35" customFormat="1" x14ac:dyDescent="0.3">
      <c r="A20" s="39"/>
      <c r="B20" s="39"/>
      <c r="C20" s="39"/>
      <c r="D20" s="40"/>
      <c r="E20" s="40"/>
      <c r="F20" s="40"/>
      <c r="G20" s="40"/>
      <c r="H20" s="40"/>
      <c r="I20" s="40"/>
      <c r="J20" s="40"/>
      <c r="K20" s="39"/>
      <c r="L20" s="39"/>
    </row>
    <row r="21" spans="1:12" s="35" customFormat="1" x14ac:dyDescent="0.3">
      <c r="A21" s="39"/>
      <c r="B21" s="39"/>
      <c r="C21" s="36"/>
      <c r="D21" s="40"/>
      <c r="E21" s="40"/>
      <c r="F21" s="40"/>
      <c r="G21" s="40"/>
      <c r="H21" s="40"/>
      <c r="I21" s="40"/>
      <c r="J21" s="40"/>
      <c r="K21" s="39"/>
      <c r="L21" s="39"/>
    </row>
    <row r="22" spans="1:12" s="35" customFormat="1" x14ac:dyDescent="0.3">
      <c r="A22" s="39"/>
      <c r="B22" s="39"/>
      <c r="C22" s="36"/>
      <c r="D22" s="40"/>
      <c r="E22" s="40"/>
      <c r="F22" s="40"/>
      <c r="G22" s="40"/>
      <c r="H22" s="40"/>
      <c r="I22" s="40"/>
      <c r="J22" s="40"/>
      <c r="K22" s="39"/>
      <c r="L22" s="39"/>
    </row>
    <row r="23" spans="1:12" s="35" customFormat="1" x14ac:dyDescent="0.3">
      <c r="A23" s="39"/>
      <c r="B23" s="39"/>
      <c r="C23" s="36"/>
      <c r="D23" s="40"/>
      <c r="E23" s="40"/>
      <c r="F23" s="40"/>
      <c r="G23" s="40"/>
      <c r="H23" s="40"/>
      <c r="I23" s="40"/>
      <c r="J23" s="40"/>
      <c r="K23" s="39"/>
      <c r="L23" s="39"/>
    </row>
    <row r="24" spans="1:12" s="35" customFormat="1" x14ac:dyDescent="0.3">
      <c r="A24" s="39"/>
      <c r="B24" s="39"/>
      <c r="C24" s="36"/>
      <c r="D24" s="40"/>
      <c r="E24" s="40"/>
      <c r="F24" s="40"/>
      <c r="G24" s="40"/>
      <c r="H24" s="40"/>
      <c r="I24" s="40"/>
      <c r="J24" s="40"/>
      <c r="K24" s="39"/>
      <c r="L24" s="39"/>
    </row>
    <row r="25" spans="1:12" s="35" customFormat="1" x14ac:dyDescent="0.3">
      <c r="A25" s="40"/>
      <c r="B25" s="40"/>
      <c r="C25" s="36"/>
      <c r="D25" s="40"/>
      <c r="E25" s="40"/>
      <c r="F25" s="40"/>
      <c r="G25" s="40"/>
      <c r="H25" s="40"/>
      <c r="I25" s="40"/>
      <c r="J25" s="40"/>
      <c r="K25" s="39"/>
      <c r="L25" s="39"/>
    </row>
  </sheetData>
  <hyperlinks>
    <hyperlink ref="H2" r:id="rId1" xr:uid="{00000000-0004-0000-0300-00000000000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workbookViewId="0">
      <selection activeCell="A12" sqref="A12"/>
    </sheetView>
  </sheetViews>
  <sheetFormatPr defaultColWidth="30.88671875" defaultRowHeight="14.4" x14ac:dyDescent="0.3"/>
  <cols>
    <col min="1" max="1" width="30.88671875" style="50"/>
    <col min="2" max="2" width="33.5546875" style="50" bestFit="1" customWidth="1"/>
    <col min="5" max="5" width="40.6640625" bestFit="1" customWidth="1"/>
    <col min="6" max="6" width="30.88671875" customWidth="1"/>
    <col min="250" max="250" width="33.5546875" bestFit="1" customWidth="1"/>
    <col min="253" max="257" width="30.88671875" customWidth="1"/>
    <col min="506" max="506" width="33.5546875" bestFit="1" customWidth="1"/>
    <col min="509" max="513" width="30.88671875" customWidth="1"/>
    <col min="762" max="762" width="33.5546875" bestFit="1" customWidth="1"/>
    <col min="765" max="769" width="30.88671875" customWidth="1"/>
    <col min="1018" max="1018" width="33.5546875" bestFit="1" customWidth="1"/>
    <col min="1021" max="1025" width="30.88671875" customWidth="1"/>
    <col min="1274" max="1274" width="33.5546875" bestFit="1" customWidth="1"/>
    <col min="1277" max="1281" width="30.88671875" customWidth="1"/>
    <col min="1530" max="1530" width="33.5546875" bestFit="1" customWidth="1"/>
    <col min="1533" max="1537" width="30.88671875" customWidth="1"/>
    <col min="1786" max="1786" width="33.5546875" bestFit="1" customWidth="1"/>
    <col min="1789" max="1793" width="30.88671875" customWidth="1"/>
    <col min="2042" max="2042" width="33.5546875" bestFit="1" customWidth="1"/>
    <col min="2045" max="2049" width="30.88671875" customWidth="1"/>
    <col min="2298" max="2298" width="33.5546875" bestFit="1" customWidth="1"/>
    <col min="2301" max="2305" width="30.88671875" customWidth="1"/>
    <col min="2554" max="2554" width="33.5546875" bestFit="1" customWidth="1"/>
    <col min="2557" max="2561" width="30.88671875" customWidth="1"/>
    <col min="2810" max="2810" width="33.5546875" bestFit="1" customWidth="1"/>
    <col min="2813" max="2817" width="30.88671875" customWidth="1"/>
    <col min="3066" max="3066" width="33.5546875" bestFit="1" customWidth="1"/>
    <col min="3069" max="3073" width="30.88671875" customWidth="1"/>
    <col min="3322" max="3322" width="33.5546875" bestFit="1" customWidth="1"/>
    <col min="3325" max="3329" width="30.88671875" customWidth="1"/>
    <col min="3578" max="3578" width="33.5546875" bestFit="1" customWidth="1"/>
    <col min="3581" max="3585" width="30.88671875" customWidth="1"/>
    <col min="3834" max="3834" width="33.5546875" bestFit="1" customWidth="1"/>
    <col min="3837" max="3841" width="30.88671875" customWidth="1"/>
    <col min="4090" max="4090" width="33.5546875" bestFit="1" customWidth="1"/>
    <col min="4093" max="4097" width="30.88671875" customWidth="1"/>
    <col min="4346" max="4346" width="33.5546875" bestFit="1" customWidth="1"/>
    <col min="4349" max="4353" width="30.88671875" customWidth="1"/>
    <col min="4602" max="4602" width="33.5546875" bestFit="1" customWidth="1"/>
    <col min="4605" max="4609" width="30.88671875" customWidth="1"/>
    <col min="4858" max="4858" width="33.5546875" bestFit="1" customWidth="1"/>
    <col min="4861" max="4865" width="30.88671875" customWidth="1"/>
    <col min="5114" max="5114" width="33.5546875" bestFit="1" customWidth="1"/>
    <col min="5117" max="5121" width="30.88671875" customWidth="1"/>
    <col min="5370" max="5370" width="33.5546875" bestFit="1" customWidth="1"/>
    <col min="5373" max="5377" width="30.88671875" customWidth="1"/>
    <col min="5626" max="5626" width="33.5546875" bestFit="1" customWidth="1"/>
    <col min="5629" max="5633" width="30.88671875" customWidth="1"/>
    <col min="5882" max="5882" width="33.5546875" bestFit="1" customWidth="1"/>
    <col min="5885" max="5889" width="30.88671875" customWidth="1"/>
    <col min="6138" max="6138" width="33.5546875" bestFit="1" customWidth="1"/>
    <col min="6141" max="6145" width="30.88671875" customWidth="1"/>
    <col min="6394" max="6394" width="33.5546875" bestFit="1" customWidth="1"/>
    <col min="6397" max="6401" width="30.88671875" customWidth="1"/>
    <col min="6650" max="6650" width="33.5546875" bestFit="1" customWidth="1"/>
    <col min="6653" max="6657" width="30.88671875" customWidth="1"/>
    <col min="6906" max="6906" width="33.5546875" bestFit="1" customWidth="1"/>
    <col min="6909" max="6913" width="30.88671875" customWidth="1"/>
    <col min="7162" max="7162" width="33.5546875" bestFit="1" customWidth="1"/>
    <col min="7165" max="7169" width="30.88671875" customWidth="1"/>
    <col min="7418" max="7418" width="33.5546875" bestFit="1" customWidth="1"/>
    <col min="7421" max="7425" width="30.88671875" customWidth="1"/>
    <col min="7674" max="7674" width="33.5546875" bestFit="1" customWidth="1"/>
    <col min="7677" max="7681" width="30.88671875" customWidth="1"/>
    <col min="7930" max="7930" width="33.5546875" bestFit="1" customWidth="1"/>
    <col min="7933" max="7937" width="30.88671875" customWidth="1"/>
    <col min="8186" max="8186" width="33.5546875" bestFit="1" customWidth="1"/>
    <col min="8189" max="8193" width="30.88671875" customWidth="1"/>
    <col min="8442" max="8442" width="33.5546875" bestFit="1" customWidth="1"/>
    <col min="8445" max="8449" width="30.88671875" customWidth="1"/>
    <col min="8698" max="8698" width="33.5546875" bestFit="1" customWidth="1"/>
    <col min="8701" max="8705" width="30.88671875" customWidth="1"/>
    <col min="8954" max="8954" width="33.5546875" bestFit="1" customWidth="1"/>
    <col min="8957" max="8961" width="30.88671875" customWidth="1"/>
    <col min="9210" max="9210" width="33.5546875" bestFit="1" customWidth="1"/>
    <col min="9213" max="9217" width="30.88671875" customWidth="1"/>
    <col min="9466" max="9466" width="33.5546875" bestFit="1" customWidth="1"/>
    <col min="9469" max="9473" width="30.88671875" customWidth="1"/>
    <col min="9722" max="9722" width="33.5546875" bestFit="1" customWidth="1"/>
    <col min="9725" max="9729" width="30.88671875" customWidth="1"/>
    <col min="9978" max="9978" width="33.5546875" bestFit="1" customWidth="1"/>
    <col min="9981" max="9985" width="30.88671875" customWidth="1"/>
    <col min="10234" max="10234" width="33.5546875" bestFit="1" customWidth="1"/>
    <col min="10237" max="10241" width="30.88671875" customWidth="1"/>
    <col min="10490" max="10490" width="33.5546875" bestFit="1" customWidth="1"/>
    <col min="10493" max="10497" width="30.88671875" customWidth="1"/>
    <col min="10746" max="10746" width="33.5546875" bestFit="1" customWidth="1"/>
    <col min="10749" max="10753" width="30.88671875" customWidth="1"/>
    <col min="11002" max="11002" width="33.5546875" bestFit="1" customWidth="1"/>
    <col min="11005" max="11009" width="30.88671875" customWidth="1"/>
    <col min="11258" max="11258" width="33.5546875" bestFit="1" customWidth="1"/>
    <col min="11261" max="11265" width="30.88671875" customWidth="1"/>
    <col min="11514" max="11514" width="33.5546875" bestFit="1" customWidth="1"/>
    <col min="11517" max="11521" width="30.88671875" customWidth="1"/>
    <col min="11770" max="11770" width="33.5546875" bestFit="1" customWidth="1"/>
    <col min="11773" max="11777" width="30.88671875" customWidth="1"/>
    <col min="12026" max="12026" width="33.5546875" bestFit="1" customWidth="1"/>
    <col min="12029" max="12033" width="30.88671875" customWidth="1"/>
    <col min="12282" max="12282" width="33.5546875" bestFit="1" customWidth="1"/>
    <col min="12285" max="12289" width="30.88671875" customWidth="1"/>
    <col min="12538" max="12538" width="33.5546875" bestFit="1" customWidth="1"/>
    <col min="12541" max="12545" width="30.88671875" customWidth="1"/>
    <col min="12794" max="12794" width="33.5546875" bestFit="1" customWidth="1"/>
    <col min="12797" max="12801" width="30.88671875" customWidth="1"/>
    <col min="13050" max="13050" width="33.5546875" bestFit="1" customWidth="1"/>
    <col min="13053" max="13057" width="30.88671875" customWidth="1"/>
    <col min="13306" max="13306" width="33.5546875" bestFit="1" customWidth="1"/>
    <col min="13309" max="13313" width="30.88671875" customWidth="1"/>
    <col min="13562" max="13562" width="33.5546875" bestFit="1" customWidth="1"/>
    <col min="13565" max="13569" width="30.88671875" customWidth="1"/>
    <col min="13818" max="13818" width="33.5546875" bestFit="1" customWidth="1"/>
    <col min="13821" max="13825" width="30.88671875" customWidth="1"/>
    <col min="14074" max="14074" width="33.5546875" bestFit="1" customWidth="1"/>
    <col min="14077" max="14081" width="30.88671875" customWidth="1"/>
    <col min="14330" max="14330" width="33.5546875" bestFit="1" customWidth="1"/>
    <col min="14333" max="14337" width="30.88671875" customWidth="1"/>
    <col min="14586" max="14586" width="33.5546875" bestFit="1" customWidth="1"/>
    <col min="14589" max="14593" width="30.88671875" customWidth="1"/>
    <col min="14842" max="14842" width="33.5546875" bestFit="1" customWidth="1"/>
    <col min="14845" max="14849" width="30.88671875" customWidth="1"/>
    <col min="15098" max="15098" width="33.5546875" bestFit="1" customWidth="1"/>
    <col min="15101" max="15105" width="30.88671875" customWidth="1"/>
    <col min="15354" max="15354" width="33.5546875" bestFit="1" customWidth="1"/>
    <col min="15357" max="15361" width="30.88671875" customWidth="1"/>
    <col min="15610" max="15610" width="33.5546875" bestFit="1" customWidth="1"/>
    <col min="15613" max="15617" width="30.88671875" customWidth="1"/>
    <col min="15866" max="15866" width="33.5546875" bestFit="1" customWidth="1"/>
    <col min="15869" max="15873" width="30.88671875" customWidth="1"/>
    <col min="16122" max="16122" width="33.5546875" bestFit="1" customWidth="1"/>
    <col min="16125" max="16129" width="30.88671875" customWidth="1"/>
  </cols>
  <sheetData>
    <row r="1" spans="1:6" s="35" customFormat="1" x14ac:dyDescent="0.3">
      <c r="A1" s="45" t="s">
        <v>231</v>
      </c>
      <c r="B1" s="45" t="s">
        <v>232</v>
      </c>
      <c r="C1" s="45" t="s">
        <v>233</v>
      </c>
      <c r="D1" s="45" t="s">
        <v>234</v>
      </c>
      <c r="E1" s="45" t="s">
        <v>235</v>
      </c>
      <c r="F1" s="45" t="s">
        <v>236</v>
      </c>
    </row>
    <row r="2" spans="1:6" s="35" customFormat="1" x14ac:dyDescent="0.3">
      <c r="A2" s="46" t="s">
        <v>237</v>
      </c>
      <c r="B2" s="46" t="s">
        <v>226</v>
      </c>
      <c r="C2" s="47" t="s">
        <v>238</v>
      </c>
      <c r="D2" s="47" t="s">
        <v>227</v>
      </c>
      <c r="E2" s="40"/>
      <c r="F2" s="40"/>
    </row>
    <row r="3" spans="1:6" s="35" customFormat="1" x14ac:dyDescent="0.3">
      <c r="A3" s="40"/>
      <c r="B3" s="36"/>
      <c r="C3" s="40"/>
      <c r="D3" s="40"/>
      <c r="E3" s="40"/>
      <c r="F3" s="40"/>
    </row>
    <row r="4" spans="1:6" s="35" customFormat="1" x14ac:dyDescent="0.3">
      <c r="A4" s="39"/>
      <c r="B4" s="36"/>
      <c r="C4" s="40"/>
      <c r="D4" s="40"/>
      <c r="E4" s="40"/>
      <c r="F4" s="40"/>
    </row>
    <row r="5" spans="1:6" s="35" customFormat="1" x14ac:dyDescent="0.3">
      <c r="A5" s="39"/>
      <c r="B5" s="36"/>
      <c r="C5" s="40"/>
      <c r="D5" s="40"/>
      <c r="E5" s="40"/>
      <c r="F5" s="40"/>
    </row>
    <row r="6" spans="1:6" s="35" customFormat="1" x14ac:dyDescent="0.3">
      <c r="A6" s="39"/>
      <c r="B6" s="36"/>
      <c r="C6" s="40"/>
      <c r="D6" s="40"/>
      <c r="E6" s="40"/>
      <c r="F6" s="40"/>
    </row>
    <row r="7" spans="1:6" s="35" customFormat="1" x14ac:dyDescent="0.3">
      <c r="A7" s="39"/>
      <c r="B7" s="36"/>
      <c r="C7" s="40"/>
      <c r="D7" s="40"/>
      <c r="E7" s="40"/>
      <c r="F7" s="40"/>
    </row>
    <row r="8" spans="1:6" s="35" customFormat="1" x14ac:dyDescent="0.3">
      <c r="A8" s="39"/>
      <c r="B8" s="36"/>
      <c r="C8" s="40"/>
      <c r="D8" s="40"/>
      <c r="E8" s="40"/>
      <c r="F8" s="40"/>
    </row>
    <row r="9" spans="1:6" s="35" customFormat="1" x14ac:dyDescent="0.3">
      <c r="A9" s="39"/>
      <c r="B9" s="36"/>
      <c r="C9" s="40"/>
      <c r="D9" s="40"/>
      <c r="E9" s="40"/>
      <c r="F9" s="40"/>
    </row>
    <row r="10" spans="1:6" s="35" customFormat="1" x14ac:dyDescent="0.3">
      <c r="A10" s="39"/>
      <c r="B10" s="36"/>
      <c r="C10" s="40"/>
      <c r="D10" s="40"/>
      <c r="E10" s="40"/>
      <c r="F10" s="40"/>
    </row>
    <row r="11" spans="1:6" s="35" customFormat="1" x14ac:dyDescent="0.3">
      <c r="A11" s="39"/>
      <c r="B11" s="36"/>
      <c r="C11" s="40"/>
      <c r="D11" s="40"/>
      <c r="E11" s="40"/>
      <c r="F11" s="40"/>
    </row>
    <row r="12" spans="1:6" s="35" customFormat="1" x14ac:dyDescent="0.3">
      <c r="A12" s="39"/>
      <c r="B12" s="36"/>
      <c r="C12" s="40"/>
      <c r="D12" s="40"/>
      <c r="E12" s="40"/>
      <c r="F12" s="40"/>
    </row>
    <row r="13" spans="1:6" s="35" customFormat="1" x14ac:dyDescent="0.3">
      <c r="A13" s="39"/>
      <c r="B13" s="36"/>
      <c r="C13" s="40"/>
      <c r="D13" s="40"/>
      <c r="E13" s="40"/>
      <c r="F13" s="40"/>
    </row>
    <row r="14" spans="1:6" s="35" customFormat="1" x14ac:dyDescent="0.3">
      <c r="A14" s="39"/>
      <c r="B14" s="36"/>
      <c r="C14" s="40"/>
      <c r="D14" s="40"/>
      <c r="E14" s="40"/>
      <c r="F14" s="40"/>
    </row>
    <row r="15" spans="1:6" s="35" customFormat="1" ht="16.8" x14ac:dyDescent="0.3">
      <c r="A15" s="49"/>
      <c r="B15" s="36"/>
      <c r="C15" s="40"/>
      <c r="D15" s="40"/>
      <c r="E15" s="40"/>
      <c r="F15" s="40"/>
    </row>
    <row r="16" spans="1:6" s="35" customFormat="1" x14ac:dyDescent="0.3">
      <c r="A16" s="39"/>
      <c r="B16" s="36"/>
      <c r="C16" s="40"/>
      <c r="D16" s="40"/>
      <c r="E16" s="40"/>
      <c r="F16" s="40"/>
    </row>
    <row r="17" spans="1:6" s="35" customFormat="1" x14ac:dyDescent="0.3">
      <c r="A17" s="39"/>
      <c r="B17" s="36"/>
      <c r="C17" s="40"/>
      <c r="D17" s="40"/>
      <c r="E17" s="40"/>
      <c r="F17" s="40"/>
    </row>
    <row r="18" spans="1:6" s="35" customFormat="1" x14ac:dyDescent="0.3">
      <c r="A18" s="39"/>
      <c r="B18" s="36"/>
      <c r="C18" s="40"/>
      <c r="D18" s="40"/>
      <c r="E18" s="40"/>
      <c r="F18" s="40"/>
    </row>
    <row r="19" spans="1:6" s="35" customFormat="1" x14ac:dyDescent="0.3">
      <c r="A19" s="39"/>
      <c r="B19" s="36"/>
      <c r="C19" s="40"/>
      <c r="D19" s="40"/>
      <c r="E19" s="40"/>
      <c r="F19" s="40"/>
    </row>
    <row r="20" spans="1:6" s="35" customFormat="1" x14ac:dyDescent="0.3">
      <c r="A20" s="39"/>
      <c r="B20" s="39"/>
      <c r="C20" s="40"/>
      <c r="D20" s="40"/>
      <c r="E20" s="40"/>
      <c r="F20" s="40"/>
    </row>
    <row r="21" spans="1:6" s="35" customFormat="1" x14ac:dyDescent="0.3">
      <c r="A21" s="39"/>
      <c r="B21" s="36"/>
      <c r="C21" s="40"/>
      <c r="D21" s="40"/>
      <c r="E21" s="40"/>
      <c r="F21" s="40"/>
    </row>
    <row r="22" spans="1:6" s="35" customFormat="1" x14ac:dyDescent="0.3">
      <c r="A22" s="39"/>
      <c r="B22" s="36"/>
      <c r="C22" s="40"/>
      <c r="D22" s="40"/>
      <c r="E22" s="40"/>
      <c r="F22" s="40"/>
    </row>
    <row r="23" spans="1:6" s="35" customFormat="1" x14ac:dyDescent="0.3">
      <c r="A23" s="39"/>
      <c r="B23" s="36"/>
      <c r="C23" s="40"/>
      <c r="D23" s="40"/>
      <c r="E23" s="40"/>
      <c r="F23" s="40"/>
    </row>
    <row r="24" spans="1:6" s="35" customFormat="1" x14ac:dyDescent="0.3">
      <c r="A24" s="39"/>
      <c r="B24" s="36"/>
      <c r="C24" s="40"/>
      <c r="D24" s="40"/>
      <c r="E24" s="40"/>
      <c r="F24" s="40"/>
    </row>
    <row r="25" spans="1:6" s="35" customFormat="1" x14ac:dyDescent="0.3">
      <c r="A25" s="40"/>
      <c r="B25" s="36"/>
      <c r="C25" s="40"/>
      <c r="D25" s="40"/>
      <c r="E25" s="40"/>
      <c r="F25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tabSelected="1" workbookViewId="0">
      <selection activeCell="D7" sqref="D7"/>
    </sheetView>
  </sheetViews>
  <sheetFormatPr defaultColWidth="30.88671875" defaultRowHeight="14.4" x14ac:dyDescent="0.3"/>
  <cols>
    <col min="1" max="1" width="30.88671875" style="50"/>
    <col min="2" max="2" width="33.5546875" style="50" bestFit="1" customWidth="1"/>
    <col min="5" max="7" width="30.88671875" customWidth="1"/>
    <col min="8" max="8" width="34.33203125" bestFit="1" customWidth="1"/>
    <col min="254" max="254" width="33.5546875" bestFit="1" customWidth="1"/>
    <col min="257" max="261" width="30.88671875" customWidth="1"/>
    <col min="510" max="510" width="33.5546875" bestFit="1" customWidth="1"/>
    <col min="513" max="517" width="30.88671875" customWidth="1"/>
    <col min="766" max="766" width="33.5546875" bestFit="1" customWidth="1"/>
    <col min="769" max="773" width="30.88671875" customWidth="1"/>
    <col min="1022" max="1022" width="33.5546875" bestFit="1" customWidth="1"/>
    <col min="1025" max="1029" width="30.88671875" customWidth="1"/>
    <col min="1278" max="1278" width="33.5546875" bestFit="1" customWidth="1"/>
    <col min="1281" max="1285" width="30.88671875" customWidth="1"/>
    <col min="1534" max="1534" width="33.5546875" bestFit="1" customWidth="1"/>
    <col min="1537" max="1541" width="30.88671875" customWidth="1"/>
    <col min="1790" max="1790" width="33.5546875" bestFit="1" customWidth="1"/>
    <col min="1793" max="1797" width="30.88671875" customWidth="1"/>
    <col min="2046" max="2046" width="33.5546875" bestFit="1" customWidth="1"/>
    <col min="2049" max="2053" width="30.88671875" customWidth="1"/>
    <col min="2302" max="2302" width="33.5546875" bestFit="1" customWidth="1"/>
    <col min="2305" max="2309" width="30.88671875" customWidth="1"/>
    <col min="2558" max="2558" width="33.5546875" bestFit="1" customWidth="1"/>
    <col min="2561" max="2565" width="30.88671875" customWidth="1"/>
    <col min="2814" max="2814" width="33.5546875" bestFit="1" customWidth="1"/>
    <col min="2817" max="2821" width="30.88671875" customWidth="1"/>
    <col min="3070" max="3070" width="33.5546875" bestFit="1" customWidth="1"/>
    <col min="3073" max="3077" width="30.88671875" customWidth="1"/>
    <col min="3326" max="3326" width="33.5546875" bestFit="1" customWidth="1"/>
    <col min="3329" max="3333" width="30.88671875" customWidth="1"/>
    <col min="3582" max="3582" width="33.5546875" bestFit="1" customWidth="1"/>
    <col min="3585" max="3589" width="30.88671875" customWidth="1"/>
    <col min="3838" max="3838" width="33.5546875" bestFit="1" customWidth="1"/>
    <col min="3841" max="3845" width="30.88671875" customWidth="1"/>
    <col min="4094" max="4094" width="33.5546875" bestFit="1" customWidth="1"/>
    <col min="4097" max="4101" width="30.88671875" customWidth="1"/>
    <col min="4350" max="4350" width="33.5546875" bestFit="1" customWidth="1"/>
    <col min="4353" max="4357" width="30.88671875" customWidth="1"/>
    <col min="4606" max="4606" width="33.5546875" bestFit="1" customWidth="1"/>
    <col min="4609" max="4613" width="30.88671875" customWidth="1"/>
    <col min="4862" max="4862" width="33.5546875" bestFit="1" customWidth="1"/>
    <col min="4865" max="4869" width="30.88671875" customWidth="1"/>
    <col min="5118" max="5118" width="33.5546875" bestFit="1" customWidth="1"/>
    <col min="5121" max="5125" width="30.88671875" customWidth="1"/>
    <col min="5374" max="5374" width="33.5546875" bestFit="1" customWidth="1"/>
    <col min="5377" max="5381" width="30.88671875" customWidth="1"/>
    <col min="5630" max="5630" width="33.5546875" bestFit="1" customWidth="1"/>
    <col min="5633" max="5637" width="30.88671875" customWidth="1"/>
    <col min="5886" max="5886" width="33.5546875" bestFit="1" customWidth="1"/>
    <col min="5889" max="5893" width="30.88671875" customWidth="1"/>
    <col min="6142" max="6142" width="33.5546875" bestFit="1" customWidth="1"/>
    <col min="6145" max="6149" width="30.88671875" customWidth="1"/>
    <col min="6398" max="6398" width="33.5546875" bestFit="1" customWidth="1"/>
    <col min="6401" max="6405" width="30.88671875" customWidth="1"/>
    <col min="6654" max="6654" width="33.5546875" bestFit="1" customWidth="1"/>
    <col min="6657" max="6661" width="30.88671875" customWidth="1"/>
    <col min="6910" max="6910" width="33.5546875" bestFit="1" customWidth="1"/>
    <col min="6913" max="6917" width="30.88671875" customWidth="1"/>
    <col min="7166" max="7166" width="33.5546875" bestFit="1" customWidth="1"/>
    <col min="7169" max="7173" width="30.88671875" customWidth="1"/>
    <col min="7422" max="7422" width="33.5546875" bestFit="1" customWidth="1"/>
    <col min="7425" max="7429" width="30.88671875" customWidth="1"/>
    <col min="7678" max="7678" width="33.5546875" bestFit="1" customWidth="1"/>
    <col min="7681" max="7685" width="30.88671875" customWidth="1"/>
    <col min="7934" max="7934" width="33.5546875" bestFit="1" customWidth="1"/>
    <col min="7937" max="7941" width="30.88671875" customWidth="1"/>
    <col min="8190" max="8190" width="33.5546875" bestFit="1" customWidth="1"/>
    <col min="8193" max="8197" width="30.88671875" customWidth="1"/>
    <col min="8446" max="8446" width="33.5546875" bestFit="1" customWidth="1"/>
    <col min="8449" max="8453" width="30.88671875" customWidth="1"/>
    <col min="8702" max="8702" width="33.5546875" bestFit="1" customWidth="1"/>
    <col min="8705" max="8709" width="30.88671875" customWidth="1"/>
    <col min="8958" max="8958" width="33.5546875" bestFit="1" customWidth="1"/>
    <col min="8961" max="8965" width="30.88671875" customWidth="1"/>
    <col min="9214" max="9214" width="33.5546875" bestFit="1" customWidth="1"/>
    <col min="9217" max="9221" width="30.88671875" customWidth="1"/>
    <col min="9470" max="9470" width="33.5546875" bestFit="1" customWidth="1"/>
    <col min="9473" max="9477" width="30.88671875" customWidth="1"/>
    <col min="9726" max="9726" width="33.5546875" bestFit="1" customWidth="1"/>
    <col min="9729" max="9733" width="30.88671875" customWidth="1"/>
    <col min="9982" max="9982" width="33.5546875" bestFit="1" customWidth="1"/>
    <col min="9985" max="9989" width="30.88671875" customWidth="1"/>
    <col min="10238" max="10238" width="33.5546875" bestFit="1" customWidth="1"/>
    <col min="10241" max="10245" width="30.88671875" customWidth="1"/>
    <col min="10494" max="10494" width="33.5546875" bestFit="1" customWidth="1"/>
    <col min="10497" max="10501" width="30.88671875" customWidth="1"/>
    <col min="10750" max="10750" width="33.5546875" bestFit="1" customWidth="1"/>
    <col min="10753" max="10757" width="30.88671875" customWidth="1"/>
    <col min="11006" max="11006" width="33.5546875" bestFit="1" customWidth="1"/>
    <col min="11009" max="11013" width="30.88671875" customWidth="1"/>
    <col min="11262" max="11262" width="33.5546875" bestFit="1" customWidth="1"/>
    <col min="11265" max="11269" width="30.88671875" customWidth="1"/>
    <col min="11518" max="11518" width="33.5546875" bestFit="1" customWidth="1"/>
    <col min="11521" max="11525" width="30.88671875" customWidth="1"/>
    <col min="11774" max="11774" width="33.5546875" bestFit="1" customWidth="1"/>
    <col min="11777" max="11781" width="30.88671875" customWidth="1"/>
    <col min="12030" max="12030" width="33.5546875" bestFit="1" customWidth="1"/>
    <col min="12033" max="12037" width="30.88671875" customWidth="1"/>
    <col min="12286" max="12286" width="33.5546875" bestFit="1" customWidth="1"/>
    <col min="12289" max="12293" width="30.88671875" customWidth="1"/>
    <col min="12542" max="12542" width="33.5546875" bestFit="1" customWidth="1"/>
    <col min="12545" max="12549" width="30.88671875" customWidth="1"/>
    <col min="12798" max="12798" width="33.5546875" bestFit="1" customWidth="1"/>
    <col min="12801" max="12805" width="30.88671875" customWidth="1"/>
    <col min="13054" max="13054" width="33.5546875" bestFit="1" customWidth="1"/>
    <col min="13057" max="13061" width="30.88671875" customWidth="1"/>
    <col min="13310" max="13310" width="33.5546875" bestFit="1" customWidth="1"/>
    <col min="13313" max="13317" width="30.88671875" customWidth="1"/>
    <col min="13566" max="13566" width="33.5546875" bestFit="1" customWidth="1"/>
    <col min="13569" max="13573" width="30.88671875" customWidth="1"/>
    <col min="13822" max="13822" width="33.5546875" bestFit="1" customWidth="1"/>
    <col min="13825" max="13829" width="30.88671875" customWidth="1"/>
    <col min="14078" max="14078" width="33.5546875" bestFit="1" customWidth="1"/>
    <col min="14081" max="14085" width="30.88671875" customWidth="1"/>
    <col min="14334" max="14334" width="33.5546875" bestFit="1" customWidth="1"/>
    <col min="14337" max="14341" width="30.88671875" customWidth="1"/>
    <col min="14590" max="14590" width="33.5546875" bestFit="1" customWidth="1"/>
    <col min="14593" max="14597" width="30.88671875" customWidth="1"/>
    <col min="14846" max="14846" width="33.5546875" bestFit="1" customWidth="1"/>
    <col min="14849" max="14853" width="30.88671875" customWidth="1"/>
    <col min="15102" max="15102" width="33.5546875" bestFit="1" customWidth="1"/>
    <col min="15105" max="15109" width="30.88671875" customWidth="1"/>
    <col min="15358" max="15358" width="33.5546875" bestFit="1" customWidth="1"/>
    <col min="15361" max="15365" width="30.88671875" customWidth="1"/>
    <col min="15614" max="15614" width="33.5546875" bestFit="1" customWidth="1"/>
    <col min="15617" max="15621" width="30.88671875" customWidth="1"/>
    <col min="15870" max="15870" width="33.5546875" bestFit="1" customWidth="1"/>
    <col min="15873" max="15877" width="30.88671875" customWidth="1"/>
    <col min="16126" max="16126" width="33.5546875" bestFit="1" customWidth="1"/>
    <col min="16129" max="16133" width="30.88671875" customWidth="1"/>
  </cols>
  <sheetData>
    <row r="1" spans="1:8" s="35" customFormat="1" x14ac:dyDescent="0.3">
      <c r="A1" s="45" t="s">
        <v>239</v>
      </c>
      <c r="B1" s="45" t="s">
        <v>240</v>
      </c>
      <c r="C1" s="45" t="s">
        <v>57</v>
      </c>
      <c r="D1" s="45" t="s">
        <v>241</v>
      </c>
      <c r="E1" s="45" t="s">
        <v>56</v>
      </c>
      <c r="F1" s="45" t="s">
        <v>242</v>
      </c>
      <c r="G1" s="45" t="s">
        <v>243</v>
      </c>
      <c r="H1" s="45" t="s">
        <v>244</v>
      </c>
    </row>
    <row r="2" spans="1:8" s="35" customFormat="1" x14ac:dyDescent="0.3">
      <c r="A2" s="46">
        <v>1</v>
      </c>
      <c r="B2" s="46" t="s">
        <v>226</v>
      </c>
      <c r="C2" s="47" t="s">
        <v>245</v>
      </c>
      <c r="D2" s="47" t="s">
        <v>246</v>
      </c>
      <c r="E2" s="40" t="s">
        <v>247</v>
      </c>
      <c r="F2" s="40" t="s">
        <v>248</v>
      </c>
      <c r="G2" s="48">
        <v>0</v>
      </c>
      <c r="H2" s="47" t="s">
        <v>249</v>
      </c>
    </row>
    <row r="3" spans="1:8" s="35" customFormat="1" x14ac:dyDescent="0.3">
      <c r="A3" s="40"/>
      <c r="B3" s="36"/>
      <c r="C3" s="40"/>
      <c r="D3" s="40"/>
      <c r="E3" s="40"/>
      <c r="F3" s="40"/>
      <c r="G3" s="40"/>
      <c r="H3" s="40"/>
    </row>
    <row r="4" spans="1:8" s="35" customFormat="1" x14ac:dyDescent="0.3">
      <c r="A4" s="39"/>
      <c r="B4" s="36"/>
      <c r="C4" s="40"/>
      <c r="D4" s="40"/>
      <c r="E4" s="40"/>
      <c r="F4" s="40"/>
      <c r="G4" s="40"/>
      <c r="H4" s="40"/>
    </row>
    <row r="5" spans="1:8" s="35" customFormat="1" x14ac:dyDescent="0.3">
      <c r="A5" s="39"/>
      <c r="B5" s="36"/>
      <c r="C5" s="40"/>
      <c r="D5" s="40"/>
      <c r="E5" s="40"/>
      <c r="F5" s="40"/>
      <c r="G5" s="40"/>
      <c r="H5" s="40"/>
    </row>
    <row r="6" spans="1:8" s="35" customFormat="1" x14ac:dyDescent="0.3">
      <c r="A6" s="39"/>
      <c r="B6" s="36"/>
      <c r="C6" s="40"/>
      <c r="D6" s="40"/>
      <c r="E6" s="40"/>
      <c r="F6" s="40"/>
      <c r="G6" s="40"/>
      <c r="H6" s="40"/>
    </row>
    <row r="7" spans="1:8" s="35" customFormat="1" x14ac:dyDescent="0.3">
      <c r="A7" s="39"/>
      <c r="B7" s="36"/>
      <c r="C7" s="40"/>
      <c r="D7" s="40"/>
      <c r="E7" s="40"/>
      <c r="F7" s="40"/>
      <c r="G7" s="40"/>
      <c r="H7" s="40"/>
    </row>
    <row r="8" spans="1:8" s="35" customFormat="1" x14ac:dyDescent="0.3">
      <c r="A8" s="39"/>
      <c r="B8" s="36"/>
      <c r="C8" s="40"/>
      <c r="D8" s="40"/>
      <c r="E8" s="40"/>
      <c r="F8" s="40"/>
      <c r="G8" s="40"/>
      <c r="H8" s="40"/>
    </row>
    <row r="9" spans="1:8" s="35" customFormat="1" x14ac:dyDescent="0.3">
      <c r="A9" s="39"/>
      <c r="B9" s="36"/>
      <c r="C9" s="40"/>
      <c r="D9" s="40"/>
      <c r="E9" s="40"/>
      <c r="F9" s="40"/>
      <c r="G9" s="40"/>
      <c r="H9" s="40"/>
    </row>
    <row r="10" spans="1:8" s="35" customFormat="1" x14ac:dyDescent="0.3">
      <c r="A10" s="39"/>
      <c r="B10" s="36"/>
      <c r="C10" s="40"/>
      <c r="D10" s="40"/>
      <c r="E10" s="40"/>
      <c r="F10" s="40"/>
      <c r="G10" s="40"/>
      <c r="H10" s="40"/>
    </row>
    <row r="11" spans="1:8" s="35" customFormat="1" x14ac:dyDescent="0.3">
      <c r="A11" s="39"/>
      <c r="B11" s="36"/>
      <c r="C11" s="40"/>
      <c r="D11" s="40"/>
      <c r="E11" s="40"/>
      <c r="F11" s="40"/>
      <c r="G11" s="40"/>
      <c r="H11" s="40"/>
    </row>
    <row r="12" spans="1:8" s="35" customFormat="1" x14ac:dyDescent="0.3">
      <c r="A12" s="39"/>
      <c r="B12" s="36"/>
      <c r="C12" s="40"/>
      <c r="D12" s="40"/>
      <c r="E12" s="40"/>
      <c r="F12" s="40"/>
      <c r="G12" s="40"/>
      <c r="H12" s="40"/>
    </row>
    <row r="13" spans="1:8" s="35" customFormat="1" x14ac:dyDescent="0.3">
      <c r="A13" s="39"/>
      <c r="B13" s="36"/>
      <c r="C13" s="40"/>
      <c r="D13" s="40"/>
      <c r="E13" s="40"/>
      <c r="F13" s="40"/>
      <c r="G13" s="40"/>
      <c r="H13" s="40"/>
    </row>
    <row r="14" spans="1:8" s="35" customFormat="1" x14ac:dyDescent="0.3">
      <c r="A14" s="39"/>
      <c r="B14" s="36"/>
      <c r="C14" s="40"/>
      <c r="D14" s="40"/>
      <c r="E14" s="40"/>
      <c r="F14" s="40"/>
      <c r="G14" s="40"/>
      <c r="H14" s="40"/>
    </row>
    <row r="15" spans="1:8" s="35" customFormat="1" ht="16.8" x14ac:dyDescent="0.3">
      <c r="A15" s="49"/>
      <c r="B15" s="36"/>
      <c r="C15" s="40"/>
      <c r="D15" s="40"/>
      <c r="E15" s="40"/>
      <c r="F15" s="40"/>
      <c r="G15" s="40"/>
      <c r="H15" s="40"/>
    </row>
    <row r="16" spans="1:8" s="35" customFormat="1" x14ac:dyDescent="0.3">
      <c r="A16" s="39"/>
      <c r="B16" s="36"/>
      <c r="C16" s="40"/>
      <c r="D16" s="40"/>
      <c r="E16" s="40"/>
      <c r="F16" s="40"/>
      <c r="G16" s="40"/>
      <c r="H16" s="40"/>
    </row>
    <row r="17" spans="1:8" s="35" customFormat="1" x14ac:dyDescent="0.3">
      <c r="A17" s="39"/>
      <c r="B17" s="36"/>
      <c r="C17" s="40"/>
      <c r="D17" s="40"/>
      <c r="E17" s="40"/>
      <c r="F17" s="40"/>
      <c r="G17" s="40"/>
      <c r="H17" s="40"/>
    </row>
    <row r="18" spans="1:8" s="35" customFormat="1" x14ac:dyDescent="0.3">
      <c r="A18" s="39"/>
      <c r="B18" s="36"/>
      <c r="C18" s="40"/>
      <c r="D18" s="40"/>
      <c r="E18" s="40"/>
      <c r="F18" s="40"/>
      <c r="G18" s="40"/>
      <c r="H18" s="40"/>
    </row>
    <row r="19" spans="1:8" s="35" customFormat="1" x14ac:dyDescent="0.3">
      <c r="A19" s="39"/>
      <c r="B19" s="36"/>
      <c r="C19" s="40"/>
      <c r="D19" s="40"/>
      <c r="E19" s="40"/>
      <c r="F19" s="40"/>
      <c r="G19" s="40"/>
      <c r="H19" s="40"/>
    </row>
    <row r="20" spans="1:8" s="35" customFormat="1" x14ac:dyDescent="0.3">
      <c r="A20" s="39"/>
      <c r="B20" s="39"/>
      <c r="C20" s="40"/>
      <c r="D20" s="40"/>
      <c r="E20" s="40"/>
      <c r="F20" s="40"/>
      <c r="G20" s="40"/>
      <c r="H20" s="40"/>
    </row>
    <row r="21" spans="1:8" s="35" customFormat="1" x14ac:dyDescent="0.3">
      <c r="A21" s="39"/>
      <c r="B21" s="36"/>
      <c r="C21" s="40"/>
      <c r="D21" s="40"/>
      <c r="E21" s="40"/>
      <c r="F21" s="40"/>
      <c r="G21" s="40"/>
      <c r="H21" s="40"/>
    </row>
    <row r="22" spans="1:8" s="35" customFormat="1" x14ac:dyDescent="0.3">
      <c r="A22" s="39"/>
      <c r="B22" s="36"/>
      <c r="C22" s="40"/>
      <c r="D22" s="40"/>
      <c r="E22" s="40"/>
      <c r="F22" s="40"/>
      <c r="G22" s="40"/>
      <c r="H22" s="40"/>
    </row>
    <row r="23" spans="1:8" s="35" customFormat="1" x14ac:dyDescent="0.3">
      <c r="A23" s="39"/>
      <c r="B23" s="36"/>
      <c r="C23" s="40"/>
      <c r="D23" s="40"/>
      <c r="E23" s="40"/>
      <c r="F23" s="40"/>
      <c r="G23" s="40"/>
      <c r="H23" s="40"/>
    </row>
    <row r="24" spans="1:8" s="35" customFormat="1" x14ac:dyDescent="0.3">
      <c r="A24" s="39"/>
      <c r="B24" s="36"/>
      <c r="C24" s="40"/>
      <c r="D24" s="40"/>
      <c r="E24" s="40"/>
      <c r="F24" s="40"/>
      <c r="G24" s="40"/>
      <c r="H24" s="40"/>
    </row>
    <row r="25" spans="1:8" s="35" customFormat="1" x14ac:dyDescent="0.3">
      <c r="A25" s="40"/>
      <c r="B25" s="36"/>
      <c r="C25" s="40"/>
      <c r="D25" s="40"/>
      <c r="E25" s="40"/>
      <c r="F25" s="40"/>
      <c r="G25" s="40"/>
      <c r="H25" s="40"/>
    </row>
  </sheetData>
  <hyperlinks>
    <hyperlink ref="G2" r:id="rId1" display="12&amp;@EPF WAGES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 Details</vt:lpstr>
      <vt:lpstr>Site Details</vt:lpstr>
      <vt:lpstr>Salary Slip Details</vt:lpstr>
      <vt:lpstr>PF FORMAT</vt:lpstr>
      <vt:lpstr>ESIC FORMAT</vt:lpstr>
      <vt:lpstr>NEFT BANK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</dc:creator>
  <cp:lastModifiedBy>Prathmesh</cp:lastModifiedBy>
  <dcterms:created xsi:type="dcterms:W3CDTF">2021-09-18T08:51:02Z</dcterms:created>
  <dcterms:modified xsi:type="dcterms:W3CDTF">2021-10-06T14:09:37Z</dcterms:modified>
</cp:coreProperties>
</file>